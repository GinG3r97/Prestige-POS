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5" documentId="8_{4969AD7F-983F-4048-9E4A-80E9C4D3A11C}" xr6:coauthVersionLast="47" xr6:coauthVersionMax="47" xr10:uidLastSave="{93D11588-A4FF-CC4D-86B5-70C276D3D6AA}"/>
  <bookViews>
    <workbookView xWindow="-120" yWindow="-120" windowWidth="29040" windowHeight="15840" activeTab="1" xr2:uid="{51588985-5918-4185-B423-4F99C5750C47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3" l="1"/>
  <c r="D101" i="3"/>
  <c r="D99" i="3"/>
  <c r="D98" i="3"/>
  <c r="D97" i="3"/>
  <c r="D90" i="3"/>
  <c r="D86" i="3"/>
  <c r="D89" i="3"/>
  <c r="D87" i="3"/>
  <c r="D78" i="3"/>
  <c r="D77" i="3"/>
  <c r="D76" i="3"/>
  <c r="D74" i="3"/>
  <c r="D73" i="3"/>
  <c r="D72" i="3"/>
  <c r="D55" i="3"/>
  <c r="D54" i="3"/>
  <c r="D53" i="3"/>
  <c r="D52" i="3"/>
  <c r="D51" i="3"/>
  <c r="D50" i="3"/>
  <c r="D49" i="3"/>
  <c r="D29" i="3"/>
  <c r="D31" i="3"/>
  <c r="D32" i="3"/>
  <c r="D30" i="3"/>
  <c r="D17" i="3"/>
  <c r="D18" i="3"/>
  <c r="D19" i="3"/>
  <c r="D28" i="3"/>
  <c r="D16" i="3"/>
  <c r="D15" i="3"/>
  <c r="K16" i="3"/>
  <c r="K18" i="3"/>
  <c r="K19" i="3"/>
  <c r="K17" i="3"/>
  <c r="K15" i="3"/>
  <c r="D7" i="3"/>
  <c r="D4" i="3"/>
  <c r="D5" i="3"/>
  <c r="D6" i="3"/>
  <c r="D3" i="3"/>
  <c r="K7" i="3"/>
  <c r="K4" i="3"/>
  <c r="K5" i="3"/>
  <c r="K6" i="3"/>
  <c r="K3" i="3"/>
  <c r="D103" i="3"/>
  <c r="F105" i="3"/>
  <c r="D91" i="3"/>
  <c r="D93" i="3"/>
  <c r="F93" i="3"/>
  <c r="D79" i="3"/>
  <c r="D81" i="3"/>
  <c r="F81" i="3"/>
  <c r="D56" i="3"/>
  <c r="D58" i="3"/>
  <c r="F58" i="3"/>
  <c r="D33" i="3"/>
  <c r="D35" i="3"/>
  <c r="F35" i="3"/>
  <c r="K8" i="3"/>
  <c r="K20" i="3"/>
  <c r="D20" i="3"/>
  <c r="D22" i="3"/>
  <c r="F22" i="3"/>
  <c r="D8" i="3"/>
  <c r="D105" i="3"/>
  <c r="D10" i="3"/>
  <c r="F10" i="3"/>
</calcChain>
</file>

<file path=xl/sharedStrings.xml><?xml version="1.0" encoding="utf-8"?>
<sst xmlns="http://schemas.openxmlformats.org/spreadsheetml/2006/main" count="700" uniqueCount="237">
  <si>
    <t>Dry, Wet and Canned Goods</t>
  </si>
  <si>
    <t>garlic</t>
  </si>
  <si>
    <t>red oinion</t>
  </si>
  <si>
    <t>white onion</t>
  </si>
  <si>
    <t>tomato</t>
  </si>
  <si>
    <t>cucumber</t>
  </si>
  <si>
    <t>carrots</t>
  </si>
  <si>
    <t>potato</t>
  </si>
  <si>
    <t>bacon</t>
  </si>
  <si>
    <t>butter</t>
  </si>
  <si>
    <t>flour</t>
  </si>
  <si>
    <t>tomato sauce</t>
  </si>
  <si>
    <t>tomato paste</t>
  </si>
  <si>
    <t>worcetershire sauce</t>
  </si>
  <si>
    <t>cream</t>
  </si>
  <si>
    <t>milk</t>
  </si>
  <si>
    <t>rice wine</t>
  </si>
  <si>
    <t>sugar white</t>
  </si>
  <si>
    <t>sugar brown</t>
  </si>
  <si>
    <t>soy sauce</t>
  </si>
  <si>
    <t>vinegar</t>
  </si>
  <si>
    <t>shitake mushroom</t>
  </si>
  <si>
    <t>button mushroom</t>
  </si>
  <si>
    <t>oyster</t>
  </si>
  <si>
    <t>pesto</t>
  </si>
  <si>
    <t>cheese cheddar</t>
  </si>
  <si>
    <t>parmesan cheese</t>
  </si>
  <si>
    <t>chicken breast</t>
  </si>
  <si>
    <t>Ground beef/lean</t>
  </si>
  <si>
    <t>Ground beef/ordinary</t>
  </si>
  <si>
    <t>Beef t tapa</t>
  </si>
  <si>
    <t>250g</t>
  </si>
  <si>
    <t>1kg</t>
  </si>
  <si>
    <t>380ml</t>
  </si>
  <si>
    <t>250ml</t>
  </si>
  <si>
    <t>198g</t>
  </si>
  <si>
    <t>400g</t>
  </si>
  <si>
    <t>60g</t>
  </si>
  <si>
    <t>Qty</t>
  </si>
  <si>
    <t>Price</t>
  </si>
  <si>
    <t>pumpkin soup</t>
  </si>
  <si>
    <t>onion</t>
  </si>
  <si>
    <t>full english sausage</t>
  </si>
  <si>
    <t>sausage</t>
  </si>
  <si>
    <t>bread</t>
  </si>
  <si>
    <t>beans</t>
  </si>
  <si>
    <t>mushroom</t>
  </si>
  <si>
    <t>egg</t>
  </si>
  <si>
    <t>fluffy pancake</t>
  </si>
  <si>
    <t>apf</t>
  </si>
  <si>
    <t>baking powder</t>
  </si>
  <si>
    <t>salt</t>
  </si>
  <si>
    <t>confecionarry sugar</t>
  </si>
  <si>
    <t>chicken teriyaki</t>
  </si>
  <si>
    <t>chx breast</t>
  </si>
  <si>
    <t>teriyaki sauce</t>
  </si>
  <si>
    <t>sesame seeds</t>
  </si>
  <si>
    <t>gyudon</t>
  </si>
  <si>
    <t>dashi</t>
  </si>
  <si>
    <t>sake</t>
  </si>
  <si>
    <t>soysauce</t>
  </si>
  <si>
    <t>oinion</t>
  </si>
  <si>
    <t>egg side up</t>
  </si>
  <si>
    <t>garlic peppered beef</t>
  </si>
  <si>
    <t>soy</t>
  </si>
  <si>
    <t>sugar</t>
  </si>
  <si>
    <t>fried garlic</t>
  </si>
  <si>
    <t>worcetershire</t>
  </si>
  <si>
    <t>beef tapa</t>
  </si>
  <si>
    <t>yender loin beef</t>
  </si>
  <si>
    <t>pesto parmesan pizza</t>
  </si>
  <si>
    <t>white cheese</t>
  </si>
  <si>
    <t>chesse</t>
  </si>
  <si>
    <t>parmesan</t>
  </si>
  <si>
    <t>agli e olio pasta</t>
  </si>
  <si>
    <t>spaghetti</t>
  </si>
  <si>
    <t>cheese</t>
  </si>
  <si>
    <t>chicken nuggets</t>
  </si>
  <si>
    <t>ground chicken</t>
  </si>
  <si>
    <t>parsley</t>
  </si>
  <si>
    <t>beef nachos</t>
  </si>
  <si>
    <t>Ground beef</t>
  </si>
  <si>
    <t>oregano</t>
  </si>
  <si>
    <t>cayenne</t>
  </si>
  <si>
    <t>chili powder</t>
  </si>
  <si>
    <t>bellpepper</t>
  </si>
  <si>
    <t>cheddar</t>
  </si>
  <si>
    <t>letuce</t>
  </si>
  <si>
    <t>cumin</t>
  </si>
  <si>
    <t>chicken sandwich</t>
  </si>
  <si>
    <t>garlic mayo</t>
  </si>
  <si>
    <t>buns</t>
  </si>
  <si>
    <t>kani salad</t>
  </si>
  <si>
    <t>crab sticks</t>
  </si>
  <si>
    <t>carrot</t>
  </si>
  <si>
    <t>corn kernel</t>
  </si>
  <si>
    <t>mango</t>
  </si>
  <si>
    <t>dressing</t>
  </si>
  <si>
    <t>sriracha</t>
  </si>
  <si>
    <t>garlic chicken fingers</t>
  </si>
  <si>
    <t>bread crumbs</t>
  </si>
  <si>
    <t>ketchup</t>
  </si>
  <si>
    <t>paprika</t>
  </si>
  <si>
    <t>churros</t>
  </si>
  <si>
    <t>oil</t>
  </si>
  <si>
    <t>boiling water</t>
  </si>
  <si>
    <t>ganache</t>
  </si>
  <si>
    <t>cocoa</t>
  </si>
  <si>
    <t>cornstarch</t>
  </si>
  <si>
    <t>white sugar</t>
  </si>
  <si>
    <t>nacho chips</t>
  </si>
  <si>
    <t>afp</t>
  </si>
  <si>
    <t>lard</t>
  </si>
  <si>
    <t>pumpkin</t>
  </si>
  <si>
    <t>alfredo</t>
  </si>
  <si>
    <t>lasgna</t>
  </si>
  <si>
    <t>lasgna pasta</t>
  </si>
  <si>
    <t>marinara sauce</t>
  </si>
  <si>
    <t>150g</t>
  </si>
  <si>
    <t>merangue</t>
  </si>
  <si>
    <t>php20</t>
  </si>
  <si>
    <t>pizza dough</t>
  </si>
  <si>
    <t>2tbp</t>
  </si>
  <si>
    <t>2tbsp</t>
  </si>
  <si>
    <t>1tsp</t>
  </si>
  <si>
    <t>Butter</t>
  </si>
  <si>
    <t>Sugar(white)</t>
  </si>
  <si>
    <t>1.2kg</t>
  </si>
  <si>
    <t>500g</t>
  </si>
  <si>
    <t>90g</t>
  </si>
  <si>
    <t>100g</t>
  </si>
  <si>
    <t>10g</t>
  </si>
  <si>
    <t>50g</t>
  </si>
  <si>
    <t>15g</t>
  </si>
  <si>
    <t>20g</t>
  </si>
  <si>
    <t>30g</t>
  </si>
  <si>
    <t>1pc</t>
  </si>
  <si>
    <t>3g</t>
  </si>
  <si>
    <t>1cup</t>
  </si>
  <si>
    <t>basil</t>
  </si>
  <si>
    <t>garlic powder</t>
  </si>
  <si>
    <t>230g</t>
  </si>
  <si>
    <t>Entrees</t>
  </si>
  <si>
    <t>Nestle</t>
  </si>
  <si>
    <t>Santini</t>
  </si>
  <si>
    <t>Brand</t>
  </si>
  <si>
    <t>Mamasitas</t>
  </si>
  <si>
    <t>Mother's Best</t>
  </si>
  <si>
    <t>Jolly</t>
  </si>
  <si>
    <t>Del monte</t>
  </si>
  <si>
    <t>Ram</t>
  </si>
  <si>
    <t>AB</t>
  </si>
  <si>
    <t>Eden</t>
  </si>
  <si>
    <t>McCormick</t>
  </si>
  <si>
    <t>Silverswan</t>
  </si>
  <si>
    <t>datu puti</t>
  </si>
  <si>
    <t>Buter Cup</t>
  </si>
  <si>
    <t xml:space="preserve">Fresh Vegetables </t>
  </si>
  <si>
    <t>Meat &amp; Poultry</t>
  </si>
  <si>
    <t>pc</t>
  </si>
  <si>
    <t>200g</t>
  </si>
  <si>
    <t>MARKET PRICE</t>
  </si>
  <si>
    <t>227g</t>
  </si>
  <si>
    <t>lasagna</t>
  </si>
  <si>
    <t>Dona Elena</t>
  </si>
  <si>
    <t>5g</t>
  </si>
  <si>
    <t>Canned Cream</t>
  </si>
  <si>
    <t>300ml</t>
  </si>
  <si>
    <t>Potato flour</t>
  </si>
  <si>
    <t>2pcs</t>
  </si>
  <si>
    <t>nestle</t>
  </si>
  <si>
    <t>180g</t>
  </si>
  <si>
    <t>250g/14pcs</t>
  </si>
  <si>
    <t>1l</t>
  </si>
  <si>
    <t>160g</t>
  </si>
  <si>
    <t>ordinary</t>
  </si>
  <si>
    <t>local</t>
  </si>
  <si>
    <t>350g</t>
  </si>
  <si>
    <t>Flour</t>
  </si>
  <si>
    <t>b</t>
  </si>
  <si>
    <t>l</t>
  </si>
  <si>
    <t>1ltr</t>
  </si>
  <si>
    <t>shriracha</t>
  </si>
  <si>
    <t>425g</t>
  </si>
  <si>
    <t>jolly</t>
  </si>
  <si>
    <t>hot sauce</t>
  </si>
  <si>
    <t>hotsauce</t>
  </si>
  <si>
    <t>silverswan</t>
  </si>
  <si>
    <t>550g</t>
  </si>
  <si>
    <t>ufc</t>
  </si>
  <si>
    <t>J&amp;Y</t>
  </si>
  <si>
    <t xml:space="preserve"> parmesan chesse</t>
  </si>
  <si>
    <t>dry yeast</t>
  </si>
  <si>
    <t>kosher salt</t>
  </si>
  <si>
    <t>white beans</t>
  </si>
  <si>
    <t>Egg/small</t>
  </si>
  <si>
    <t>loaf bread</t>
  </si>
  <si>
    <t>cost price</t>
  </si>
  <si>
    <t>unit</t>
  </si>
  <si>
    <t>Gross Income</t>
  </si>
  <si>
    <t>total</t>
  </si>
  <si>
    <t>mark up</t>
  </si>
  <si>
    <t>mark up percentage</t>
  </si>
  <si>
    <t>Unit</t>
  </si>
  <si>
    <t>menu price</t>
  </si>
  <si>
    <t>Menu Price</t>
  </si>
  <si>
    <t xml:space="preserve">Ingredients </t>
  </si>
  <si>
    <t>cost</t>
  </si>
  <si>
    <t>cost individual</t>
  </si>
  <si>
    <t xml:space="preserve">sphagetti </t>
  </si>
  <si>
    <t>chicken pow</t>
  </si>
  <si>
    <t>chicken powder</t>
  </si>
  <si>
    <t>knorr</t>
  </si>
  <si>
    <t xml:space="preserve">Mark Up </t>
  </si>
  <si>
    <t>Cparmesan cheese</t>
  </si>
  <si>
    <t>Pasta</t>
  </si>
  <si>
    <t>Knorr</t>
  </si>
  <si>
    <t>Chxpow</t>
  </si>
  <si>
    <t>grms</t>
  </si>
  <si>
    <t>eden</t>
  </si>
  <si>
    <t>900g</t>
  </si>
  <si>
    <t>`</t>
  </si>
  <si>
    <t>Cost Price</t>
  </si>
  <si>
    <t>cornstartch</t>
  </si>
  <si>
    <t>lettuce</t>
  </si>
  <si>
    <t>house mayo</t>
  </si>
  <si>
    <t>palm oil</t>
  </si>
  <si>
    <t>ufc Golden fiesta</t>
  </si>
  <si>
    <t>1L</t>
  </si>
  <si>
    <t>300g</t>
  </si>
  <si>
    <t>Mark up Percentage</t>
  </si>
  <si>
    <t>Burger buns</t>
  </si>
  <si>
    <t>bread Crumbs</t>
  </si>
  <si>
    <t>mustard</t>
  </si>
  <si>
    <t>Calumet</t>
  </si>
  <si>
    <t>1KG</t>
  </si>
  <si>
    <t>calumet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</si>
</sst>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₱&quot;* #,##0.00_-;\-&quot;₱&quot;* #,##0.00_-;_-&quot;₱&quot;* &quot;-&quot;??_-;_-@_-"/>
    <numFmt numFmtId="165" formatCode="&quot;₱&quot;#,##0.00"/>
    <numFmt numFmtId="166" formatCode="#\ ?/4"/>
    <numFmt numFmtId="167" formatCode="#,##0_ ;\-#,##0\ "/>
    <numFmt numFmtId="168" formatCode="_-[$₱-3409]* #,##0.00_-;\-[$₱-3409]* #,##0.00_-;_-[$₱-3409]* &quot;-&quot;??_-;_-@_-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9C57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4" borderId="3" applyNumberFormat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6" borderId="0" applyNumberFormat="0" applyBorder="0" applyAlignment="0" applyProtection="0"/>
    <xf numFmtId="43" fontId="11" fillId="0" borderId="0" applyFont="0" applyFill="0" applyBorder="0" applyAlignment="0" applyProtection="0"/>
    <xf numFmtId="0" fontId="14" fillId="7" borderId="0" applyNumberFormat="0" applyBorder="0" applyAlignment="0" applyProtection="0"/>
  </cellStyleXfs>
  <cellXfs count="139">
    <xf numFmtId="0" fontId="0" fillId="0" borderId="0" xfId="0"/>
    <xf numFmtId="0" fontId="8" fillId="0" borderId="4" xfId="0" applyFont="1" applyBorder="1" applyAlignment="1">
      <alignment horizontal="center" readingOrder="1"/>
    </xf>
    <xf numFmtId="0" fontId="9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1"/>
    </xf>
    <xf numFmtId="0" fontId="0" fillId="0" borderId="5" xfId="0" applyBorder="1" applyAlignment="1">
      <alignment horizontal="center" readingOrder="1"/>
    </xf>
    <xf numFmtId="0" fontId="0" fillId="0" borderId="1" xfId="0" applyBorder="1" applyAlignment="1">
      <alignment horizontal="center" readingOrder="1"/>
    </xf>
    <xf numFmtId="0" fontId="8" fillId="0" borderId="6" xfId="0" applyFont="1" applyBorder="1" applyAlignment="1">
      <alignment horizontal="center" readingOrder="1"/>
    </xf>
    <xf numFmtId="0" fontId="7" fillId="2" borderId="1" xfId="1" applyFont="1" applyBorder="1" applyAlignment="1">
      <alignment horizontal="center" readingOrder="1"/>
    </xf>
    <xf numFmtId="0" fontId="3" fillId="2" borderId="1" xfId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0" fillId="0" borderId="0" xfId="0" applyAlignment="1">
      <alignment horizontal="center" readingOrder="1"/>
    </xf>
    <xf numFmtId="0" fontId="0" fillId="0" borderId="8" xfId="0" applyBorder="1" applyAlignment="1">
      <alignment horizontal="center" readingOrder="1"/>
    </xf>
    <xf numFmtId="0" fontId="3" fillId="2" borderId="6" xfId="1" applyBorder="1" applyAlignment="1">
      <alignment horizontal="center" readingOrder="1"/>
    </xf>
    <xf numFmtId="0" fontId="5" fillId="4" borderId="4" xfId="3" applyBorder="1"/>
    <xf numFmtId="0" fontId="4" fillId="3" borderId="4" xfId="2" applyBorder="1"/>
    <xf numFmtId="0" fontId="2" fillId="0" borderId="4" xfId="0" applyFont="1" applyBorder="1"/>
    <xf numFmtId="0" fontId="0" fillId="0" borderId="4" xfId="0" applyBorder="1"/>
    <xf numFmtId="0" fontId="1" fillId="0" borderId="4" xfId="0" applyFont="1" applyBorder="1"/>
    <xf numFmtId="164" fontId="1" fillId="0" borderId="4" xfId="0" applyNumberFormat="1" applyFont="1" applyBorder="1"/>
    <xf numFmtId="164" fontId="4" fillId="3" borderId="4" xfId="2" applyNumberFormat="1" applyBorder="1"/>
    <xf numFmtId="165" fontId="1" fillId="0" borderId="4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10" fontId="1" fillId="0" borderId="4" xfId="0" applyNumberFormat="1" applyFont="1" applyBorder="1"/>
    <xf numFmtId="165" fontId="0" fillId="0" borderId="4" xfId="0" applyNumberFormat="1" applyBorder="1"/>
    <xf numFmtId="165" fontId="0" fillId="0" borderId="4" xfId="4" applyNumberFormat="1" applyFont="1" applyBorder="1"/>
    <xf numFmtId="165" fontId="1" fillId="0" borderId="4" xfId="4" applyNumberFormat="1" applyFont="1" applyBorder="1"/>
    <xf numFmtId="0" fontId="12" fillId="0" borderId="0" xfId="0" applyFont="1"/>
    <xf numFmtId="0" fontId="8" fillId="0" borderId="9" xfId="0" applyFont="1" applyBorder="1" applyAlignment="1">
      <alignment horizontal="center" readingOrder="1"/>
    </xf>
    <xf numFmtId="0" fontId="8" fillId="0" borderId="10" xfId="0" applyFont="1" applyBorder="1" applyAlignment="1">
      <alignment horizontal="center" readingOrder="1"/>
    </xf>
    <xf numFmtId="0" fontId="3" fillId="2" borderId="10" xfId="1" applyBorder="1" applyAlignment="1">
      <alignment horizontal="center" readingOrder="1"/>
    </xf>
    <xf numFmtId="0" fontId="8" fillId="0" borderId="11" xfId="0" applyFont="1" applyBorder="1" applyAlignment="1">
      <alignment horizontal="center" readingOrder="1"/>
    </xf>
    <xf numFmtId="0" fontId="8" fillId="0" borderId="12" xfId="0" applyFont="1" applyBorder="1" applyAlignment="1">
      <alignment horizontal="center" readingOrder="1"/>
    </xf>
    <xf numFmtId="0" fontId="12" fillId="0" borderId="13" xfId="0" applyFont="1" applyBorder="1"/>
    <xf numFmtId="0" fontId="0" fillId="0" borderId="13" xfId="0" applyBorder="1"/>
    <xf numFmtId="0" fontId="0" fillId="0" borderId="12" xfId="0" applyBorder="1"/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166" fontId="0" fillId="0" borderId="0" xfId="0" applyNumberFormat="1"/>
    <xf numFmtId="0" fontId="9" fillId="0" borderId="0" xfId="0" applyFont="1"/>
    <xf numFmtId="0" fontId="13" fillId="6" borderId="1" xfId="6" applyBorder="1" applyAlignment="1">
      <alignment horizontal="center" readingOrder="1"/>
    </xf>
    <xf numFmtId="0" fontId="3" fillId="2" borderId="0" xfId="1" applyBorder="1" applyAlignment="1">
      <alignment horizontal="center" readingOrder="1"/>
    </xf>
    <xf numFmtId="0" fontId="0" fillId="0" borderId="0" xfId="0" applyAlignment="1">
      <alignment horizontal="center"/>
    </xf>
    <xf numFmtId="0" fontId="13" fillId="6" borderId="0" xfId="6" applyBorder="1" applyAlignment="1">
      <alignment horizontal="center" readingOrder="1"/>
    </xf>
    <xf numFmtId="164" fontId="4" fillId="3" borderId="2" xfId="2" applyNumberFormat="1"/>
    <xf numFmtId="0" fontId="0" fillId="0" borderId="1" xfId="0" applyBorder="1"/>
    <xf numFmtId="164" fontId="0" fillId="0" borderId="1" xfId="0" applyNumberFormat="1" applyBorder="1"/>
    <xf numFmtId="0" fontId="0" fillId="0" borderId="1" xfId="5" applyNumberFormat="1" applyFont="1" applyBorder="1" applyAlignment="1">
      <alignment horizontal="center"/>
    </xf>
    <xf numFmtId="9" fontId="0" fillId="0" borderId="1" xfId="5" applyFont="1" applyBorder="1"/>
    <xf numFmtId="0" fontId="0" fillId="0" borderId="1" xfId="0" applyNumberFormat="1" applyBorder="1" applyAlignment="1">
      <alignment horizontal="center"/>
    </xf>
    <xf numFmtId="164" fontId="4" fillId="3" borderId="1" xfId="2" applyNumberFormat="1" applyBorder="1"/>
    <xf numFmtId="166" fontId="0" fillId="0" borderId="1" xfId="0" applyNumberFormat="1" applyBorder="1"/>
    <xf numFmtId="0" fontId="15" fillId="6" borderId="1" xfId="6" applyFont="1" applyBorder="1" applyAlignment="1">
      <alignment horizontal="center" readingOrder="1"/>
    </xf>
    <xf numFmtId="164" fontId="0" fillId="0" borderId="0" xfId="0" applyNumberFormat="1" applyBorder="1"/>
    <xf numFmtId="0" fontId="0" fillId="0" borderId="0" xfId="0" applyBorder="1"/>
    <xf numFmtId="2" fontId="0" fillId="0" borderId="0" xfId="0" applyNumberFormat="1"/>
    <xf numFmtId="0" fontId="0" fillId="0" borderId="0" xfId="0" applyNumberFormat="1"/>
    <xf numFmtId="0" fontId="0" fillId="0" borderId="0" xfId="0" applyNumberFormat="1" applyFill="1" applyBorder="1"/>
    <xf numFmtId="167" fontId="0" fillId="0" borderId="0" xfId="7" applyNumberFormat="1" applyFont="1" applyProtection="1"/>
    <xf numFmtId="0" fontId="0" fillId="0" borderId="7" xfId="0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1" xfId="0" applyNumberFormat="1" applyFill="1" applyBorder="1"/>
    <xf numFmtId="167" fontId="0" fillId="0" borderId="1" xfId="7" applyNumberFormat="1" applyFont="1" applyBorder="1" applyProtection="1"/>
    <xf numFmtId="0" fontId="0" fillId="0" borderId="1" xfId="7" applyNumberFormat="1" applyFont="1" applyBorder="1" applyProtection="1"/>
    <xf numFmtId="0" fontId="0" fillId="0" borderId="0" xfId="0" applyFill="1" applyBorder="1" applyAlignment="1">
      <alignment horizontal="center" readingOrder="1"/>
    </xf>
    <xf numFmtId="0" fontId="1" fillId="0" borderId="14" xfId="0" applyFont="1" applyFill="1" applyBorder="1"/>
    <xf numFmtId="0" fontId="4" fillId="3" borderId="2" xfId="2"/>
    <xf numFmtId="0" fontId="4" fillId="3" borderId="2" xfId="2" applyNumberFormat="1"/>
    <xf numFmtId="167" fontId="4" fillId="3" borderId="2" xfId="2" applyNumberFormat="1" applyProtection="1"/>
    <xf numFmtId="165" fontId="1" fillId="0" borderId="4" xfId="4" applyNumberFormat="1" applyFont="1" applyFill="1" applyBorder="1"/>
    <xf numFmtId="0" fontId="1" fillId="0" borderId="4" xfId="0" applyFont="1" applyFill="1" applyBorder="1"/>
    <xf numFmtId="0" fontId="4" fillId="3" borderId="4" xfId="2" applyNumberFormat="1" applyBorder="1"/>
    <xf numFmtId="0" fontId="0" fillId="0" borderId="4" xfId="0" applyNumberFormat="1" applyBorder="1"/>
    <xf numFmtId="0" fontId="1" fillId="0" borderId="4" xfId="0" applyNumberFormat="1" applyFont="1" applyBorder="1"/>
    <xf numFmtId="0" fontId="0" fillId="0" borderId="4" xfId="4" applyNumberFormat="1" applyFont="1" applyBorder="1"/>
    <xf numFmtId="0" fontId="1" fillId="0" borderId="4" xfId="4" applyNumberFormat="1" applyFont="1" applyBorder="1"/>
    <xf numFmtId="0" fontId="1" fillId="0" borderId="4" xfId="4" applyNumberFormat="1" applyFont="1" applyFill="1" applyBorder="1"/>
    <xf numFmtId="0" fontId="0" fillId="0" borderId="0" xfId="0" applyBorder="1" applyAlignment="1">
      <alignment horizontal="center" readingOrder="1"/>
    </xf>
    <xf numFmtId="166" fontId="0" fillId="0" borderId="0" xfId="0" applyNumberFormat="1" applyBorder="1"/>
    <xf numFmtId="0" fontId="13" fillId="6" borderId="1" xfId="6" applyBorder="1" applyAlignment="1">
      <alignment horizontal="center"/>
    </xf>
    <xf numFmtId="166" fontId="5" fillId="4" borderId="1" xfId="3" applyNumberFormat="1" applyBorder="1"/>
    <xf numFmtId="164" fontId="5" fillId="4" borderId="1" xfId="3" applyNumberFormat="1" applyBorder="1"/>
    <xf numFmtId="0" fontId="0" fillId="0" borderId="14" xfId="0" applyNumberFormat="1" applyFill="1" applyBorder="1"/>
    <xf numFmtId="0" fontId="0" fillId="0" borderId="14" xfId="0" applyFill="1" applyBorder="1"/>
    <xf numFmtId="168" fontId="4" fillId="3" borderId="1" xfId="2" applyNumberFormat="1" applyBorder="1"/>
    <xf numFmtId="0" fontId="4" fillId="3" borderId="15" xfId="2" applyBorder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17" xfId="0" applyNumberFormat="1" applyBorder="1"/>
    <xf numFmtId="164" fontId="0" fillId="0" borderId="1" xfId="4" applyFont="1" applyBorder="1"/>
    <xf numFmtId="0" fontId="0" fillId="0" borderId="19" xfId="0" applyBorder="1" applyAlignment="1">
      <alignment horizontal="center" readingOrder="1"/>
    </xf>
    <xf numFmtId="166" fontId="0" fillId="0" borderId="20" xfId="0" applyNumberFormat="1" applyBorder="1"/>
    <xf numFmtId="164" fontId="0" fillId="0" borderId="20" xfId="4" applyFont="1" applyBorder="1"/>
    <xf numFmtId="0" fontId="0" fillId="0" borderId="20" xfId="0" applyBorder="1"/>
    <xf numFmtId="0" fontId="4" fillId="3" borderId="2" xfId="2" applyAlignment="1">
      <alignment horizontal="center" readingOrder="1"/>
    </xf>
    <xf numFmtId="164" fontId="0" fillId="0" borderId="0" xfId="4" applyFont="1" applyBorder="1"/>
    <xf numFmtId="0" fontId="4" fillId="3" borderId="2" xfId="2" applyAlignment="1">
      <alignment horizontal="center"/>
    </xf>
    <xf numFmtId="2" fontId="0" fillId="0" borderId="21" xfId="0" applyNumberFormat="1" applyBorder="1"/>
    <xf numFmtId="2" fontId="0" fillId="0" borderId="1" xfId="0" applyNumberFormat="1" applyBorder="1"/>
    <xf numFmtId="2" fontId="16" fillId="3" borderId="1" xfId="2" applyNumberFormat="1" applyFont="1" applyBorder="1"/>
    <xf numFmtId="2" fontId="4" fillId="3" borderId="1" xfId="2" applyNumberFormat="1" applyBorder="1"/>
    <xf numFmtId="2" fontId="4" fillId="3" borderId="2" xfId="2" applyNumberFormat="1"/>
    <xf numFmtId="2" fontId="0" fillId="0" borderId="6" xfId="0" applyNumberFormat="1" applyBorder="1"/>
    <xf numFmtId="0" fontId="4" fillId="3" borderId="17" xfId="2" applyBorder="1"/>
    <xf numFmtId="2" fontId="4" fillId="3" borderId="18" xfId="2" applyNumberFormat="1" applyBorder="1"/>
    <xf numFmtId="0" fontId="4" fillId="3" borderId="5" xfId="2" applyBorder="1" applyAlignment="1">
      <alignment horizontal="center" readingOrder="1"/>
    </xf>
    <xf numFmtId="0" fontId="13" fillId="6" borderId="5" xfId="6" applyBorder="1" applyAlignment="1">
      <alignment horizontal="center" readingOrder="1"/>
    </xf>
    <xf numFmtId="2" fontId="4" fillId="3" borderId="6" xfId="2" applyNumberFormat="1" applyBorder="1"/>
    <xf numFmtId="10" fontId="0" fillId="0" borderId="17" xfId="0" applyNumberFormat="1" applyBorder="1"/>
    <xf numFmtId="10" fontId="4" fillId="3" borderId="17" xfId="2" applyNumberFormat="1" applyBorder="1"/>
    <xf numFmtId="0" fontId="4" fillId="3" borderId="19" xfId="2" applyBorder="1" applyAlignment="1">
      <alignment horizontal="center" readingOrder="1"/>
    </xf>
    <xf numFmtId="164" fontId="4" fillId="3" borderId="20" xfId="2" applyNumberFormat="1" applyBorder="1"/>
    <xf numFmtId="2" fontId="4" fillId="3" borderId="21" xfId="2" applyNumberFormat="1" applyBorder="1"/>
    <xf numFmtId="0" fontId="0" fillId="0" borderId="5" xfId="0" applyFill="1" applyBorder="1" applyAlignment="1">
      <alignment horizontal="center" readingOrder="1"/>
    </xf>
    <xf numFmtId="0" fontId="0" fillId="0" borderId="5" xfId="0" applyBorder="1"/>
    <xf numFmtId="164" fontId="0" fillId="0" borderId="20" xfId="0" applyNumberFormat="1" applyBorder="1"/>
    <xf numFmtId="0" fontId="13" fillId="6" borderId="19" xfId="6" applyBorder="1" applyAlignment="1">
      <alignment horizontal="center"/>
    </xf>
    <xf numFmtId="0" fontId="0" fillId="0" borderId="0" xfId="0" applyBorder="1" applyAlignment="1">
      <alignment horizontal="center"/>
    </xf>
    <xf numFmtId="0" fontId="14" fillId="7" borderId="1" xfId="8" applyBorder="1" applyAlignment="1">
      <alignment horizontal="center" readingOrder="1"/>
    </xf>
    <xf numFmtId="0" fontId="14" fillId="7" borderId="16" xfId="8" applyBorder="1" applyAlignment="1">
      <alignment horizontal="center" readingOrder="1"/>
    </xf>
    <xf numFmtId="0" fontId="14" fillId="7" borderId="6" xfId="8" applyBorder="1" applyAlignment="1">
      <alignment horizontal="center" readingOrder="1"/>
    </xf>
    <xf numFmtId="12" fontId="0" fillId="0" borderId="1" xfId="0" applyNumberFormat="1" applyBorder="1"/>
    <xf numFmtId="0" fontId="4" fillId="3" borderId="1" xfId="2" applyBorder="1" applyAlignment="1">
      <alignment horizontal="center"/>
    </xf>
    <xf numFmtId="166" fontId="0" fillId="0" borderId="1" xfId="0" applyNumberFormat="1" applyFill="1" applyBorder="1"/>
    <xf numFmtId="0" fontId="4" fillId="3" borderId="5" xfId="2" applyBorder="1" applyAlignment="1">
      <alignment horizontal="center"/>
    </xf>
    <xf numFmtId="0" fontId="13" fillId="6" borderId="5" xfId="6" applyBorder="1" applyAlignment="1">
      <alignment horizontal="center"/>
    </xf>
    <xf numFmtId="165" fontId="0" fillId="0" borderId="14" xfId="0" applyNumberFormat="1" applyFill="1" applyBorder="1"/>
    <xf numFmtId="0" fontId="13" fillId="6" borderId="19" xfId="6" applyBorder="1" applyAlignment="1">
      <alignment horizontal="center" readingOrder="1"/>
    </xf>
    <xf numFmtId="166" fontId="0" fillId="0" borderId="17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2" applyBorder="1" applyAlignment="1">
      <alignment horizontal="center" readingOrder="1"/>
    </xf>
    <xf numFmtId="0" fontId="4" fillId="3" borderId="5" xfId="2" applyBorder="1" applyAlignment="1">
      <alignment horizontal="center" readingOrder="1"/>
    </xf>
    <xf numFmtId="0" fontId="4" fillId="3" borderId="1" xfId="2" applyBorder="1" applyAlignment="1">
      <alignment horizontal="center"/>
    </xf>
  </cellXfs>
  <cellStyles count="9">
    <cellStyle name="Accent1" xfId="8" builtinId="29"/>
    <cellStyle name="Calculation" xfId="2" builtinId="22"/>
    <cellStyle name="Check Cell" xfId="3" builtinId="23"/>
    <cellStyle name="Comma" xfId="7" builtinId="3"/>
    <cellStyle name="Currency" xfId="4" builtinId="4"/>
    <cellStyle name="Good" xfId="6" builtinId="26"/>
    <cellStyle name="Neutral" xfId="1" builtinId="28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1956-7E36-4D1D-85BA-6BA20F37AA2D}">
  <sheetPr>
    <pageSetUpPr fitToPage="1"/>
  </sheetPr>
  <dimension ref="A1:Q39"/>
  <sheetViews>
    <sheetView topLeftCell="A9" zoomScaleNormal="100" workbookViewId="0">
      <selection activeCell="H39" sqref="H39"/>
    </sheetView>
  </sheetViews>
  <sheetFormatPr defaultRowHeight="15" x14ac:dyDescent="0.2"/>
  <cols>
    <col min="1" max="1" width="17.21875" customWidth="1"/>
    <col min="2" max="2" width="9.14453125" style="22" customWidth="1"/>
    <col min="3" max="3" width="9.14453125" customWidth="1"/>
    <col min="4" max="4" width="27.57421875" customWidth="1"/>
    <col min="5" max="6" width="9.14453125" customWidth="1"/>
    <col min="7" max="7" width="32.1484375" customWidth="1"/>
    <col min="12" max="12" width="18.83203125" customWidth="1"/>
  </cols>
  <sheetData>
    <row r="1" spans="1:12" ht="18.75" x14ac:dyDescent="0.25">
      <c r="A1" s="13" t="s">
        <v>157</v>
      </c>
      <c r="B1" s="19" t="s">
        <v>39</v>
      </c>
      <c r="C1" s="15" t="s">
        <v>38</v>
      </c>
      <c r="D1" s="13" t="s">
        <v>158</v>
      </c>
      <c r="E1" s="14" t="s">
        <v>39</v>
      </c>
      <c r="F1" s="15" t="s">
        <v>38</v>
      </c>
      <c r="G1" s="13" t="s">
        <v>0</v>
      </c>
      <c r="H1" s="14" t="s">
        <v>39</v>
      </c>
      <c r="I1" s="15" t="s">
        <v>38</v>
      </c>
      <c r="J1" s="13" t="s">
        <v>145</v>
      </c>
      <c r="K1" s="16"/>
      <c r="L1" s="40" t="s">
        <v>161</v>
      </c>
    </row>
    <row r="2" spans="1:12" ht="17.25" customHeight="1" x14ac:dyDescent="0.25">
      <c r="A2" s="17" t="s">
        <v>6</v>
      </c>
      <c r="B2" s="21">
        <v>124</v>
      </c>
      <c r="C2" s="23" t="s">
        <v>32</v>
      </c>
      <c r="D2" s="17" t="s">
        <v>8</v>
      </c>
      <c r="E2" s="20">
        <v>247</v>
      </c>
      <c r="F2" s="23" t="s">
        <v>160</v>
      </c>
      <c r="G2" s="17" t="s">
        <v>139</v>
      </c>
      <c r="H2" s="25">
        <v>317</v>
      </c>
      <c r="I2" s="16" t="s">
        <v>171</v>
      </c>
      <c r="J2" s="16" t="s">
        <v>153</v>
      </c>
      <c r="K2" s="16"/>
    </row>
    <row r="3" spans="1:12" ht="16.5" x14ac:dyDescent="0.25">
      <c r="A3" s="17" t="s">
        <v>5</v>
      </c>
      <c r="B3" s="21">
        <v>24</v>
      </c>
      <c r="C3" s="23" t="s">
        <v>32</v>
      </c>
      <c r="D3" s="17" t="s">
        <v>30</v>
      </c>
      <c r="E3" s="20">
        <v>524</v>
      </c>
      <c r="F3" s="23" t="s">
        <v>32</v>
      </c>
      <c r="G3" s="16" t="s">
        <v>100</v>
      </c>
      <c r="H3" s="25">
        <v>39</v>
      </c>
      <c r="I3" s="16" t="s">
        <v>141</v>
      </c>
      <c r="J3" s="16" t="s">
        <v>150</v>
      </c>
      <c r="K3" s="16"/>
    </row>
    <row r="4" spans="1:12" ht="16.5" x14ac:dyDescent="0.25">
      <c r="A4" s="17" t="s">
        <v>1</v>
      </c>
      <c r="B4" s="21">
        <v>120</v>
      </c>
      <c r="C4" s="23" t="s">
        <v>32</v>
      </c>
      <c r="D4" s="17" t="s">
        <v>27</v>
      </c>
      <c r="E4" s="20">
        <v>185</v>
      </c>
      <c r="F4" s="23" t="s">
        <v>32</v>
      </c>
      <c r="G4" s="17" t="s">
        <v>9</v>
      </c>
      <c r="H4" s="26">
        <v>46</v>
      </c>
      <c r="I4" s="16" t="s">
        <v>31</v>
      </c>
      <c r="J4" s="16" t="s">
        <v>156</v>
      </c>
      <c r="K4" s="16"/>
    </row>
    <row r="5" spans="1:12" ht="16.5" x14ac:dyDescent="0.25">
      <c r="A5" s="17" t="s">
        <v>96</v>
      </c>
      <c r="B5" s="21">
        <v>192</v>
      </c>
      <c r="C5" s="23" t="s">
        <v>32</v>
      </c>
      <c r="D5" s="17"/>
      <c r="E5" s="17"/>
      <c r="F5" s="17"/>
      <c r="G5" s="16" t="s">
        <v>140</v>
      </c>
      <c r="H5" s="25">
        <v>918</v>
      </c>
      <c r="I5" s="16" t="s">
        <v>32</v>
      </c>
      <c r="J5" s="16" t="s">
        <v>151</v>
      </c>
      <c r="K5" s="16"/>
    </row>
    <row r="6" spans="1:12" ht="16.5" x14ac:dyDescent="0.25">
      <c r="A6" s="17" t="s">
        <v>79</v>
      </c>
      <c r="B6" s="21"/>
      <c r="C6" s="23"/>
      <c r="D6" s="17" t="s">
        <v>195</v>
      </c>
      <c r="E6" s="20">
        <v>5.85</v>
      </c>
      <c r="F6" s="23" t="s">
        <v>159</v>
      </c>
      <c r="G6" s="17" t="s">
        <v>22</v>
      </c>
      <c r="H6" s="26">
        <v>54</v>
      </c>
      <c r="I6" s="16" t="s">
        <v>36</v>
      </c>
      <c r="J6" s="16" t="s">
        <v>148</v>
      </c>
      <c r="K6" s="16"/>
    </row>
    <row r="7" spans="1:12" ht="16.5" x14ac:dyDescent="0.25">
      <c r="A7" s="17" t="s">
        <v>7</v>
      </c>
      <c r="B7" s="21">
        <v>76</v>
      </c>
      <c r="C7" s="23" t="s">
        <v>32</v>
      </c>
      <c r="D7" s="17" t="s">
        <v>28</v>
      </c>
      <c r="E7" s="20">
        <v>514</v>
      </c>
      <c r="F7" s="23" t="s">
        <v>32</v>
      </c>
      <c r="G7" s="17" t="s">
        <v>25</v>
      </c>
      <c r="H7" s="26">
        <v>55</v>
      </c>
      <c r="I7" s="16" t="s">
        <v>174</v>
      </c>
      <c r="J7" s="16" t="s">
        <v>152</v>
      </c>
      <c r="K7" s="16"/>
    </row>
    <row r="8" spans="1:12" ht="16.5" x14ac:dyDescent="0.25">
      <c r="A8" s="17" t="s">
        <v>113</v>
      </c>
      <c r="B8" s="21">
        <v>150</v>
      </c>
      <c r="C8" s="23" t="s">
        <v>32</v>
      </c>
      <c r="D8" s="17" t="s">
        <v>29</v>
      </c>
      <c r="E8" s="20">
        <v>379</v>
      </c>
      <c r="F8" s="23" t="s">
        <v>32</v>
      </c>
      <c r="G8" s="16" t="s">
        <v>93</v>
      </c>
      <c r="H8" s="25">
        <v>145</v>
      </c>
      <c r="I8" s="16" t="s">
        <v>172</v>
      </c>
      <c r="J8" s="16" t="s">
        <v>151</v>
      </c>
      <c r="K8" s="16"/>
    </row>
    <row r="9" spans="1:12" ht="16.5" x14ac:dyDescent="0.25">
      <c r="A9" s="17" t="s">
        <v>2</v>
      </c>
      <c r="B9" s="21">
        <v>81</v>
      </c>
      <c r="C9" s="23" t="s">
        <v>32</v>
      </c>
      <c r="D9" s="17"/>
      <c r="E9" s="16"/>
      <c r="F9" s="16"/>
      <c r="G9" s="17" t="s">
        <v>14</v>
      </c>
      <c r="H9" s="26">
        <v>50</v>
      </c>
      <c r="I9" s="16" t="s">
        <v>34</v>
      </c>
      <c r="J9" s="16" t="s">
        <v>143</v>
      </c>
      <c r="K9" s="16"/>
    </row>
    <row r="10" spans="1:12" ht="16.5" x14ac:dyDescent="0.25">
      <c r="A10" s="17" t="s">
        <v>4</v>
      </c>
      <c r="B10" s="21">
        <v>63</v>
      </c>
      <c r="C10" s="23" t="s">
        <v>32</v>
      </c>
      <c r="D10" s="17"/>
      <c r="E10" s="16"/>
      <c r="F10" s="16"/>
      <c r="G10" s="17" t="s">
        <v>10</v>
      </c>
      <c r="H10" s="26">
        <v>67</v>
      </c>
      <c r="I10" s="16" t="s">
        <v>32</v>
      </c>
      <c r="J10" s="16" t="s">
        <v>175</v>
      </c>
      <c r="K10" s="16"/>
    </row>
    <row r="11" spans="1:12" ht="16.5" x14ac:dyDescent="0.25">
      <c r="A11" s="17" t="s">
        <v>3</v>
      </c>
      <c r="B11" s="21">
        <v>79</v>
      </c>
      <c r="C11" s="23" t="s">
        <v>32</v>
      </c>
      <c r="D11" s="17"/>
      <c r="E11" s="16"/>
      <c r="F11" s="16"/>
      <c r="G11" s="16" t="s">
        <v>66</v>
      </c>
      <c r="H11" s="25">
        <v>120</v>
      </c>
      <c r="I11" s="16" t="s">
        <v>32</v>
      </c>
      <c r="J11" s="16" t="s">
        <v>151</v>
      </c>
      <c r="K11" s="16"/>
    </row>
    <row r="12" spans="1:12" ht="16.5" x14ac:dyDescent="0.25">
      <c r="A12" s="16"/>
      <c r="B12" s="21"/>
      <c r="C12" s="16"/>
      <c r="D12" s="16"/>
      <c r="E12" s="16"/>
      <c r="F12" s="16"/>
      <c r="G12" s="17" t="s">
        <v>166</v>
      </c>
      <c r="H12" s="24">
        <v>106</v>
      </c>
      <c r="I12" s="16" t="s">
        <v>167</v>
      </c>
      <c r="J12" s="16" t="s">
        <v>170</v>
      </c>
      <c r="K12" s="16"/>
    </row>
    <row r="13" spans="1:12" ht="16.5" x14ac:dyDescent="0.25">
      <c r="A13" s="16"/>
      <c r="B13" s="21"/>
      <c r="C13" s="16"/>
      <c r="D13" s="16"/>
      <c r="E13" s="16"/>
      <c r="F13" s="16"/>
      <c r="G13" s="17" t="s">
        <v>108</v>
      </c>
      <c r="H13" s="24">
        <v>44.2</v>
      </c>
      <c r="I13" s="16" t="s">
        <v>128</v>
      </c>
      <c r="J13" s="16" t="s">
        <v>176</v>
      </c>
      <c r="K13" s="16"/>
    </row>
    <row r="14" spans="1:12" x14ac:dyDescent="0.2">
      <c r="A14" s="16"/>
      <c r="B14" s="21"/>
      <c r="C14" s="16"/>
      <c r="D14" s="16"/>
      <c r="E14" s="16"/>
      <c r="F14" s="16"/>
      <c r="G14" s="16" t="s">
        <v>163</v>
      </c>
      <c r="H14" s="25">
        <v>143</v>
      </c>
      <c r="I14" s="16" t="s">
        <v>128</v>
      </c>
      <c r="J14" s="16" t="s">
        <v>164</v>
      </c>
      <c r="K14" s="16"/>
    </row>
    <row r="15" spans="1:12" ht="16.5" x14ac:dyDescent="0.25">
      <c r="A15" s="17"/>
      <c r="B15" s="18"/>
      <c r="C15" s="23"/>
      <c r="D15" s="17"/>
      <c r="E15" s="17"/>
      <c r="F15" s="17"/>
      <c r="G15" s="17" t="s">
        <v>15</v>
      </c>
      <c r="H15" s="26">
        <v>97</v>
      </c>
      <c r="I15" s="16" t="s">
        <v>181</v>
      </c>
      <c r="J15" s="16" t="s">
        <v>143</v>
      </c>
      <c r="K15" s="16"/>
    </row>
    <row r="16" spans="1:12" ht="16.5" x14ac:dyDescent="0.25">
      <c r="A16" s="17"/>
      <c r="B16" s="18"/>
      <c r="C16" s="17"/>
      <c r="D16" s="17"/>
      <c r="E16" s="17"/>
      <c r="F16" s="17"/>
      <c r="G16" s="17" t="s">
        <v>23</v>
      </c>
      <c r="H16" s="26">
        <v>13</v>
      </c>
      <c r="I16" s="16" t="s">
        <v>37</v>
      </c>
      <c r="J16" s="16" t="s">
        <v>146</v>
      </c>
      <c r="K16" s="16"/>
    </row>
    <row r="17" spans="1:17" ht="16.5" x14ac:dyDescent="0.25">
      <c r="A17" s="17"/>
      <c r="B17" s="18"/>
      <c r="C17" s="17"/>
      <c r="D17" s="17"/>
      <c r="E17" s="17"/>
      <c r="F17" s="17"/>
      <c r="G17" s="17" t="s">
        <v>26</v>
      </c>
      <c r="H17" s="26">
        <v>196</v>
      </c>
      <c r="I17" s="16" t="s">
        <v>162</v>
      </c>
      <c r="J17" s="16" t="s">
        <v>144</v>
      </c>
      <c r="K17" s="16"/>
    </row>
    <row r="18" spans="1:17" ht="16.5" x14ac:dyDescent="0.25">
      <c r="A18" s="16"/>
      <c r="B18" s="21"/>
      <c r="C18" s="16"/>
      <c r="D18" s="16"/>
      <c r="E18" s="16"/>
      <c r="F18" s="16"/>
      <c r="G18" s="17" t="s">
        <v>79</v>
      </c>
      <c r="H18" s="24">
        <v>349</v>
      </c>
      <c r="I18" s="16" t="s">
        <v>118</v>
      </c>
      <c r="J18" s="16" t="s">
        <v>153</v>
      </c>
      <c r="K18" s="16"/>
    </row>
    <row r="19" spans="1:17" ht="16.5" x14ac:dyDescent="0.25">
      <c r="A19" s="17"/>
      <c r="B19" s="18"/>
      <c r="C19" s="17"/>
      <c r="D19" s="17"/>
      <c r="E19" s="17"/>
      <c r="F19" s="17"/>
      <c r="G19" s="17" t="s">
        <v>24</v>
      </c>
      <c r="H19" s="26">
        <v>48</v>
      </c>
      <c r="I19" s="16" t="s">
        <v>135</v>
      </c>
      <c r="J19" s="16" t="s">
        <v>153</v>
      </c>
      <c r="K19" s="16"/>
    </row>
    <row r="20" spans="1:17" ht="16.5" x14ac:dyDescent="0.25">
      <c r="A20" s="16"/>
      <c r="B20" s="21"/>
      <c r="C20" s="16"/>
      <c r="D20" s="16"/>
      <c r="E20" s="16"/>
      <c r="F20" s="16"/>
      <c r="G20" s="17" t="s">
        <v>168</v>
      </c>
      <c r="H20" s="24">
        <v>151.5</v>
      </c>
      <c r="I20" s="16" t="s">
        <v>177</v>
      </c>
      <c r="J20" s="16" t="s">
        <v>176</v>
      </c>
      <c r="K20" s="16"/>
    </row>
    <row r="21" spans="1:17" ht="16.5" x14ac:dyDescent="0.25">
      <c r="A21" s="16"/>
      <c r="B21" s="21"/>
      <c r="C21" s="16"/>
      <c r="D21" s="16"/>
      <c r="E21" s="16"/>
      <c r="F21" s="16"/>
      <c r="G21" s="17" t="s">
        <v>16</v>
      </c>
      <c r="H21" s="26">
        <v>48</v>
      </c>
      <c r="I21" s="16" t="s">
        <v>33</v>
      </c>
      <c r="J21" s="16"/>
      <c r="K21" s="16"/>
      <c r="N21" t="s">
        <v>180</v>
      </c>
    </row>
    <row r="22" spans="1:17" ht="16.5" x14ac:dyDescent="0.25">
      <c r="A22" s="17"/>
      <c r="B22" s="18"/>
      <c r="C22" s="17"/>
      <c r="D22" s="17"/>
      <c r="E22" s="17"/>
      <c r="F22" s="17"/>
      <c r="G22" s="17" t="s">
        <v>209</v>
      </c>
      <c r="H22" s="26">
        <v>88</v>
      </c>
      <c r="I22" s="16" t="s">
        <v>32</v>
      </c>
      <c r="J22" s="16" t="s">
        <v>149</v>
      </c>
      <c r="K22" s="16"/>
    </row>
    <row r="23" spans="1:17" ht="16.5" x14ac:dyDescent="0.25">
      <c r="A23" s="17"/>
      <c r="B23" s="18"/>
      <c r="C23" s="17"/>
      <c r="D23" s="17"/>
      <c r="E23" s="17"/>
      <c r="F23" s="17"/>
      <c r="G23" s="17" t="s">
        <v>21</v>
      </c>
      <c r="H23" s="26">
        <v>31</v>
      </c>
      <c r="I23" s="16" t="s">
        <v>35</v>
      </c>
      <c r="J23" s="16" t="s">
        <v>148</v>
      </c>
      <c r="K23" s="16"/>
    </row>
    <row r="24" spans="1:17" ht="16.5" x14ac:dyDescent="0.25">
      <c r="A24" s="17"/>
      <c r="B24" s="18"/>
      <c r="C24" s="17"/>
      <c r="D24" s="17"/>
      <c r="E24" s="17"/>
      <c r="F24" s="17"/>
      <c r="G24" s="17" t="s">
        <v>19</v>
      </c>
      <c r="H24" s="26">
        <v>60</v>
      </c>
      <c r="I24" s="16" t="s">
        <v>173</v>
      </c>
      <c r="J24" s="16" t="s">
        <v>154</v>
      </c>
      <c r="K24" s="16"/>
    </row>
    <row r="25" spans="1:17" ht="16.5" x14ac:dyDescent="0.25">
      <c r="A25" s="17"/>
      <c r="B25" s="18"/>
      <c r="C25" s="17"/>
      <c r="D25" s="17"/>
      <c r="E25" s="17"/>
      <c r="F25" s="17"/>
      <c r="G25" s="17" t="s">
        <v>18</v>
      </c>
      <c r="H25" s="26">
        <v>78</v>
      </c>
      <c r="I25" s="16" t="s">
        <v>32</v>
      </c>
      <c r="J25" s="16" t="s">
        <v>176</v>
      </c>
      <c r="K25" s="16"/>
    </row>
    <row r="26" spans="1:17" ht="16.5" x14ac:dyDescent="0.25">
      <c r="A26" s="17"/>
      <c r="B26" s="18"/>
      <c r="C26" s="17"/>
      <c r="D26" s="17"/>
      <c r="E26" s="17"/>
      <c r="F26" s="17"/>
      <c r="G26" s="17" t="s">
        <v>17</v>
      </c>
      <c r="H26" s="26">
        <v>78</v>
      </c>
      <c r="I26" s="16" t="s">
        <v>32</v>
      </c>
      <c r="J26" s="16" t="s">
        <v>176</v>
      </c>
      <c r="K26" s="16"/>
    </row>
    <row r="27" spans="1:17" ht="16.5" x14ac:dyDescent="0.25">
      <c r="A27" s="16"/>
      <c r="B27" s="21"/>
      <c r="C27" s="16"/>
      <c r="D27" s="16"/>
      <c r="E27" s="16"/>
      <c r="F27" s="16"/>
      <c r="G27" s="17" t="s">
        <v>12</v>
      </c>
      <c r="H27" s="26">
        <v>35</v>
      </c>
      <c r="I27" s="16" t="s">
        <v>118</v>
      </c>
      <c r="J27" s="16" t="s">
        <v>149</v>
      </c>
      <c r="K27" s="16"/>
      <c r="Q27" t="s">
        <v>179</v>
      </c>
    </row>
    <row r="28" spans="1:17" ht="16.5" x14ac:dyDescent="0.25">
      <c r="A28" s="16"/>
      <c r="B28" s="21"/>
      <c r="C28" s="16"/>
      <c r="D28" s="16"/>
      <c r="E28" s="16"/>
      <c r="F28" s="16"/>
      <c r="G28" s="17" t="s">
        <v>11</v>
      </c>
      <c r="H28" s="26">
        <v>86</v>
      </c>
      <c r="I28" s="16" t="s">
        <v>32</v>
      </c>
      <c r="J28" s="16" t="s">
        <v>149</v>
      </c>
      <c r="K28" s="16"/>
    </row>
    <row r="29" spans="1:17" ht="16.5" x14ac:dyDescent="0.25">
      <c r="A29" s="16"/>
      <c r="B29" s="21"/>
      <c r="C29" s="16"/>
      <c r="D29" s="16"/>
      <c r="E29" s="16"/>
      <c r="F29" s="16"/>
      <c r="G29" s="17" t="s">
        <v>20</v>
      </c>
      <c r="H29" s="26">
        <v>43</v>
      </c>
      <c r="I29" s="16" t="s">
        <v>173</v>
      </c>
      <c r="J29" s="16" t="s">
        <v>155</v>
      </c>
      <c r="K29" s="16"/>
    </row>
    <row r="30" spans="1:17" ht="16.5" x14ac:dyDescent="0.25">
      <c r="A30" s="16"/>
      <c r="B30" s="21"/>
      <c r="C30" s="16"/>
      <c r="D30" s="16"/>
      <c r="E30" s="16"/>
      <c r="F30" s="16"/>
      <c r="G30" s="17" t="s">
        <v>13</v>
      </c>
      <c r="H30" s="26">
        <v>142</v>
      </c>
      <c r="I30" s="16" t="s">
        <v>33</v>
      </c>
      <c r="J30" s="16" t="s">
        <v>147</v>
      </c>
      <c r="K30" s="16"/>
    </row>
    <row r="31" spans="1:17" ht="16.5" x14ac:dyDescent="0.25">
      <c r="A31" s="16"/>
      <c r="B31" s="21"/>
      <c r="C31" s="16"/>
      <c r="D31" s="16"/>
      <c r="E31" s="16"/>
      <c r="F31" s="16"/>
      <c r="G31" s="17" t="s">
        <v>182</v>
      </c>
      <c r="H31" s="24"/>
      <c r="I31" s="16"/>
      <c r="J31" s="16"/>
      <c r="K31" s="16"/>
    </row>
    <row r="32" spans="1:17" ht="16.5" x14ac:dyDescent="0.25">
      <c r="A32" s="16"/>
      <c r="B32" s="21"/>
      <c r="C32" s="16"/>
      <c r="D32" s="16"/>
      <c r="E32" s="16"/>
      <c r="F32" s="16"/>
      <c r="G32" s="17" t="s">
        <v>95</v>
      </c>
      <c r="H32" s="71">
        <v>42.5</v>
      </c>
      <c r="I32" s="16" t="s">
        <v>183</v>
      </c>
      <c r="J32" s="16" t="s">
        <v>184</v>
      </c>
      <c r="K32" s="16"/>
    </row>
    <row r="33" spans="1:11" ht="16.5" x14ac:dyDescent="0.25">
      <c r="A33" s="16"/>
      <c r="B33" s="21"/>
      <c r="C33" s="16"/>
      <c r="D33" s="16"/>
      <c r="E33" s="16"/>
      <c r="F33" s="16"/>
      <c r="G33" s="17" t="s">
        <v>185</v>
      </c>
      <c r="H33" s="24">
        <v>24</v>
      </c>
      <c r="I33" s="16" t="s">
        <v>130</v>
      </c>
      <c r="J33" s="16" t="s">
        <v>187</v>
      </c>
      <c r="K33" s="16"/>
    </row>
    <row r="34" spans="1:11" ht="16.5" x14ac:dyDescent="0.25">
      <c r="A34" s="16"/>
      <c r="B34" s="21"/>
      <c r="C34" s="16"/>
      <c r="D34" s="16"/>
      <c r="E34" s="16"/>
      <c r="F34" s="16"/>
      <c r="G34" s="17" t="s">
        <v>101</v>
      </c>
      <c r="H34" s="24">
        <v>45</v>
      </c>
      <c r="I34" s="16" t="s">
        <v>188</v>
      </c>
      <c r="J34" s="16" t="s">
        <v>189</v>
      </c>
      <c r="K34" s="16"/>
    </row>
    <row r="35" spans="1:11" ht="16.5" x14ac:dyDescent="0.25">
      <c r="A35" s="16"/>
      <c r="B35" s="21"/>
      <c r="C35" s="16"/>
      <c r="D35" s="16"/>
      <c r="E35" s="16"/>
      <c r="F35" s="16"/>
      <c r="G35" s="17" t="s">
        <v>102</v>
      </c>
      <c r="H35" s="24">
        <v>17</v>
      </c>
      <c r="I35" s="16" t="s">
        <v>135</v>
      </c>
      <c r="J35" s="16" t="s">
        <v>190</v>
      </c>
      <c r="K35" s="16"/>
    </row>
    <row r="36" spans="1:11" ht="16.5" x14ac:dyDescent="0.25">
      <c r="A36" s="16"/>
      <c r="B36" s="21"/>
      <c r="C36" s="16"/>
      <c r="D36" s="16"/>
      <c r="E36" s="16"/>
      <c r="F36" s="16"/>
      <c r="G36" s="17" t="s">
        <v>194</v>
      </c>
      <c r="H36" s="24">
        <v>94.5</v>
      </c>
      <c r="I36" s="16" t="s">
        <v>128</v>
      </c>
      <c r="J36" s="16" t="s">
        <v>190</v>
      </c>
      <c r="K36" s="16"/>
    </row>
    <row r="37" spans="1:11" ht="16.5" x14ac:dyDescent="0.25">
      <c r="A37" s="16"/>
      <c r="B37" s="21"/>
      <c r="C37" s="16"/>
      <c r="D37" s="16"/>
      <c r="E37" s="16"/>
      <c r="F37" s="16"/>
      <c r="G37" s="72" t="s">
        <v>211</v>
      </c>
      <c r="H37" s="24">
        <v>514</v>
      </c>
      <c r="I37" s="16" t="s">
        <v>32</v>
      </c>
      <c r="J37" s="16" t="s">
        <v>212</v>
      </c>
      <c r="K37" s="16"/>
    </row>
    <row r="38" spans="1:11" ht="16.5" x14ac:dyDescent="0.25">
      <c r="G38" s="67" t="s">
        <v>50</v>
      </c>
      <c r="H38" s="128">
        <v>217.2</v>
      </c>
      <c r="I38" s="85" t="s">
        <v>32</v>
      </c>
      <c r="J38" s="85" t="s">
        <v>234</v>
      </c>
    </row>
    <row r="39" spans="1:11" ht="16.5" x14ac:dyDescent="0.25">
      <c r="G39" s="67" t="s">
        <v>51</v>
      </c>
      <c r="H39" s="128">
        <v>11.65</v>
      </c>
      <c r="I39" s="85" t="s">
        <v>118</v>
      </c>
      <c r="J39" s="85" t="s">
        <v>153</v>
      </c>
    </row>
  </sheetData>
  <sortState xmlns:xlrd2="http://schemas.microsoft.com/office/spreadsheetml/2017/richdata2" ref="A2:K37">
    <sortCondition ref="K37:K38"/>
  </sortState>
  <dataConsolidate/>
  <phoneticPr fontId="10" type="noConversion"/>
  <pageMargins left="0.11811023622047245" right="0.11811023622047245" top="0.15748031496062992" bottom="0.19685039370078741" header="0.31496062992125984" footer="0.31496062992125984"/>
  <pageSetup paperSize="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4DA4-2691-4409-B8B5-7E017F73F648}">
  <dimension ref="A1:X176"/>
  <sheetViews>
    <sheetView tabSelected="1" topLeftCell="B96" workbookViewId="0">
      <selection activeCell="B99" sqref="B99"/>
    </sheetView>
  </sheetViews>
  <sheetFormatPr defaultRowHeight="15" x14ac:dyDescent="0.2"/>
  <cols>
    <col min="1" max="1" width="21.25390625" customWidth="1"/>
    <col min="2" max="2" width="11.02734375" customWidth="1"/>
    <col min="3" max="3" width="8.203125" customWidth="1"/>
    <col min="4" max="4" width="17.21875" style="22" customWidth="1"/>
    <col min="5" max="5" width="14.390625" customWidth="1"/>
    <col min="6" max="6" width="23.40625" style="56" customWidth="1"/>
    <col min="7" max="7" width="19.1015625" customWidth="1"/>
    <col min="8" max="8" width="9.14453125" style="57"/>
    <col min="9" max="9" width="18.83203125" style="57" customWidth="1"/>
    <col min="11" max="11" width="11.56640625" style="59" bestFit="1" customWidth="1"/>
    <col min="13" max="13" width="12.5078125" customWidth="1"/>
    <col min="14" max="14" width="9.14453125" style="57"/>
    <col min="16" max="16" width="22.59765625" customWidth="1"/>
    <col min="17" max="17" width="9.14453125" style="57"/>
    <col min="19" max="19" width="19.50390625" customWidth="1"/>
    <col min="20" max="20" width="9.14453125" style="57"/>
  </cols>
  <sheetData>
    <row r="1" spans="1:24" ht="19.5" thickBot="1" x14ac:dyDescent="0.3">
      <c r="A1" s="88" t="s">
        <v>142</v>
      </c>
      <c r="B1" s="134" t="s">
        <v>203</v>
      </c>
      <c r="C1" s="135"/>
      <c r="D1" s="89" t="s">
        <v>222</v>
      </c>
      <c r="E1" s="68" t="s">
        <v>199</v>
      </c>
      <c r="F1" s="101" t="s">
        <v>202</v>
      </c>
      <c r="G1" s="60" t="s">
        <v>206</v>
      </c>
      <c r="H1" s="61" t="s">
        <v>39</v>
      </c>
      <c r="I1" s="61" t="s">
        <v>198</v>
      </c>
      <c r="J1" s="46" t="s">
        <v>145</v>
      </c>
      <c r="K1" s="64" t="s">
        <v>207</v>
      </c>
      <c r="M1" s="13" t="s">
        <v>157</v>
      </c>
      <c r="N1" s="73" t="s">
        <v>39</v>
      </c>
      <c r="O1" s="15" t="s">
        <v>38</v>
      </c>
      <c r="P1" s="13" t="s">
        <v>158</v>
      </c>
      <c r="Q1" s="73" t="s">
        <v>39</v>
      </c>
      <c r="R1" s="15" t="s">
        <v>38</v>
      </c>
      <c r="S1" s="13" t="s">
        <v>0</v>
      </c>
      <c r="T1" s="73" t="s">
        <v>39</v>
      </c>
      <c r="U1" s="15" t="s">
        <v>38</v>
      </c>
      <c r="V1" s="13" t="s">
        <v>145</v>
      </c>
      <c r="W1" s="16"/>
      <c r="X1" s="40" t="s">
        <v>161</v>
      </c>
    </row>
    <row r="2" spans="1:24" ht="17.25" thickBot="1" x14ac:dyDescent="0.3">
      <c r="A2" s="120" t="s">
        <v>40</v>
      </c>
      <c r="B2" s="46"/>
      <c r="C2" s="46"/>
      <c r="D2" s="47"/>
      <c r="E2" s="46"/>
      <c r="F2" s="100"/>
      <c r="G2" s="60"/>
      <c r="H2" s="61"/>
      <c r="I2" s="61"/>
      <c r="J2" s="46"/>
      <c r="K2" s="64"/>
      <c r="M2" s="17" t="s">
        <v>6</v>
      </c>
      <c r="N2" s="74">
        <v>124</v>
      </c>
      <c r="O2" s="23" t="s">
        <v>32</v>
      </c>
      <c r="P2" s="17" t="s">
        <v>8</v>
      </c>
      <c r="Q2" s="75">
        <v>247</v>
      </c>
      <c r="R2" s="23" t="s">
        <v>160</v>
      </c>
      <c r="S2" s="17" t="s">
        <v>139</v>
      </c>
      <c r="T2" s="76">
        <v>317</v>
      </c>
      <c r="U2" s="16" t="s">
        <v>171</v>
      </c>
      <c r="V2" s="16" t="s">
        <v>153</v>
      </c>
      <c r="W2" s="16"/>
    </row>
    <row r="3" spans="1:24" ht="17.25" thickBot="1" x14ac:dyDescent="0.3">
      <c r="A3" s="5" t="s">
        <v>113</v>
      </c>
      <c r="B3" s="48">
        <v>100</v>
      </c>
      <c r="C3" s="49" t="s">
        <v>218</v>
      </c>
      <c r="D3" s="47">
        <f>(B3/1000)*H3</f>
        <v>15</v>
      </c>
      <c r="E3" s="46"/>
      <c r="F3" s="100"/>
      <c r="G3" s="62" t="s">
        <v>113</v>
      </c>
      <c r="H3" s="61">
        <v>150</v>
      </c>
      <c r="I3" s="63">
        <v>1000</v>
      </c>
      <c r="J3" s="46" t="s">
        <v>176</v>
      </c>
      <c r="K3" s="65">
        <f>(B3/1000)*H3</f>
        <v>15</v>
      </c>
      <c r="M3" s="17" t="s">
        <v>5</v>
      </c>
      <c r="N3" s="74">
        <v>24</v>
      </c>
      <c r="O3" s="23" t="s">
        <v>32</v>
      </c>
      <c r="P3" s="17" t="s">
        <v>30</v>
      </c>
      <c r="Q3" s="75">
        <v>524</v>
      </c>
      <c r="R3" s="23" t="s">
        <v>32</v>
      </c>
      <c r="S3" s="16" t="s">
        <v>100</v>
      </c>
      <c r="T3" s="76">
        <v>39</v>
      </c>
      <c r="U3" s="16" t="s">
        <v>141</v>
      </c>
      <c r="V3" s="16" t="s">
        <v>150</v>
      </c>
      <c r="W3" s="16"/>
    </row>
    <row r="4" spans="1:24" ht="17.25" thickBot="1" x14ac:dyDescent="0.3">
      <c r="A4" s="5" t="s">
        <v>1</v>
      </c>
      <c r="B4" s="50">
        <v>10</v>
      </c>
      <c r="C4" s="49" t="s">
        <v>218</v>
      </c>
      <c r="D4" s="47">
        <f>(B4/1000)*H4</f>
        <v>1.2</v>
      </c>
      <c r="E4" s="46"/>
      <c r="F4" s="100"/>
      <c r="G4" s="60" t="s">
        <v>1</v>
      </c>
      <c r="H4" s="61">
        <v>120</v>
      </c>
      <c r="I4" s="61">
        <v>1000</v>
      </c>
      <c r="J4" s="46" t="s">
        <v>176</v>
      </c>
      <c r="K4" s="65">
        <f>(B4/1000)*H4</f>
        <v>1.2</v>
      </c>
      <c r="M4" s="17" t="s">
        <v>1</v>
      </c>
      <c r="N4" s="74">
        <v>120</v>
      </c>
      <c r="O4" s="23" t="s">
        <v>32</v>
      </c>
      <c r="P4" s="17" t="s">
        <v>27</v>
      </c>
      <c r="Q4" s="75">
        <v>185</v>
      </c>
      <c r="R4" s="23" t="s">
        <v>32</v>
      </c>
      <c r="S4" s="17" t="s">
        <v>9</v>
      </c>
      <c r="T4" s="77">
        <v>46</v>
      </c>
      <c r="U4" s="16" t="s">
        <v>31</v>
      </c>
      <c r="V4" s="16" t="s">
        <v>156</v>
      </c>
      <c r="W4" s="16"/>
    </row>
    <row r="5" spans="1:24" ht="17.25" thickBot="1" x14ac:dyDescent="0.3">
      <c r="A5" s="5" t="s">
        <v>41</v>
      </c>
      <c r="B5" s="50">
        <v>10</v>
      </c>
      <c r="C5" s="49" t="s">
        <v>218</v>
      </c>
      <c r="D5" s="47">
        <f>(B5/1000)*H5</f>
        <v>0.79</v>
      </c>
      <c r="E5" s="46"/>
      <c r="F5" s="100"/>
      <c r="G5" s="60" t="s">
        <v>41</v>
      </c>
      <c r="H5" s="61">
        <v>79</v>
      </c>
      <c r="I5" s="61">
        <v>1000</v>
      </c>
      <c r="J5" s="46" t="s">
        <v>176</v>
      </c>
      <c r="K5" s="65">
        <f>(B5/1000)*H5</f>
        <v>0.79</v>
      </c>
      <c r="M5" s="17" t="s">
        <v>96</v>
      </c>
      <c r="N5" s="74">
        <v>192</v>
      </c>
      <c r="O5" s="23" t="s">
        <v>32</v>
      </c>
      <c r="P5" s="17"/>
      <c r="Q5" s="75"/>
      <c r="R5" s="17"/>
      <c r="S5" s="16" t="s">
        <v>140</v>
      </c>
      <c r="T5" s="76">
        <v>918</v>
      </c>
      <c r="U5" s="16" t="s">
        <v>32</v>
      </c>
      <c r="V5" s="16" t="s">
        <v>151</v>
      </c>
      <c r="W5" s="16"/>
    </row>
    <row r="6" spans="1:24" ht="17.25" thickBot="1" x14ac:dyDescent="0.3">
      <c r="A6" s="5" t="s">
        <v>15</v>
      </c>
      <c r="B6" s="50">
        <v>100</v>
      </c>
      <c r="C6" s="49" t="s">
        <v>218</v>
      </c>
      <c r="D6" s="47">
        <f>(B6/1000)*H6</f>
        <v>9.7000000000000011</v>
      </c>
      <c r="E6" s="46"/>
      <c r="F6" s="100"/>
      <c r="G6" s="60" t="s">
        <v>15</v>
      </c>
      <c r="H6" s="61">
        <v>97</v>
      </c>
      <c r="I6" s="61">
        <v>1000</v>
      </c>
      <c r="J6" s="46" t="s">
        <v>143</v>
      </c>
      <c r="K6" s="65">
        <f>(B6/1000)*H6</f>
        <v>9.7000000000000011</v>
      </c>
      <c r="M6" s="17" t="s">
        <v>79</v>
      </c>
      <c r="N6" s="74"/>
      <c r="O6" s="23"/>
      <c r="P6" s="17" t="s">
        <v>195</v>
      </c>
      <c r="Q6" s="75">
        <v>5.85</v>
      </c>
      <c r="R6" s="23" t="s">
        <v>159</v>
      </c>
      <c r="S6" s="17" t="s">
        <v>22</v>
      </c>
      <c r="T6" s="77">
        <v>54</v>
      </c>
      <c r="U6" s="16" t="s">
        <v>36</v>
      </c>
      <c r="V6" s="16" t="s">
        <v>148</v>
      </c>
      <c r="W6" s="16"/>
    </row>
    <row r="7" spans="1:24" ht="17.25" thickBot="1" x14ac:dyDescent="0.3">
      <c r="A7" s="5" t="s">
        <v>14</v>
      </c>
      <c r="B7" s="50">
        <v>50</v>
      </c>
      <c r="C7" s="49" t="s">
        <v>218</v>
      </c>
      <c r="D7" s="47">
        <f>(B7/250)*H7</f>
        <v>10</v>
      </c>
      <c r="E7" s="46"/>
      <c r="F7" s="100"/>
      <c r="G7" s="60" t="s">
        <v>14</v>
      </c>
      <c r="H7" s="61">
        <v>50</v>
      </c>
      <c r="I7" s="61">
        <v>250</v>
      </c>
      <c r="J7" s="46" t="s">
        <v>143</v>
      </c>
      <c r="K7" s="65">
        <f>(B7/250)*H7</f>
        <v>10</v>
      </c>
      <c r="M7" s="17" t="s">
        <v>7</v>
      </c>
      <c r="N7" s="74">
        <v>76</v>
      </c>
      <c r="O7" s="23" t="s">
        <v>32</v>
      </c>
      <c r="P7" s="17" t="s">
        <v>28</v>
      </c>
      <c r="Q7" s="75">
        <v>514</v>
      </c>
      <c r="R7" s="23" t="s">
        <v>32</v>
      </c>
      <c r="S7" s="17" t="s">
        <v>25</v>
      </c>
      <c r="T7" s="77">
        <v>55</v>
      </c>
      <c r="U7" s="16" t="s">
        <v>174</v>
      </c>
      <c r="V7" s="16" t="s">
        <v>152</v>
      </c>
      <c r="W7" s="16"/>
    </row>
    <row r="8" spans="1:24" ht="17.25" thickBot="1" x14ac:dyDescent="0.3">
      <c r="A8" s="136" t="s">
        <v>200</v>
      </c>
      <c r="B8" s="136"/>
      <c r="C8" s="136"/>
      <c r="D8" s="51">
        <f>SUM(D3:D7)</f>
        <v>36.69</v>
      </c>
      <c r="E8" s="46"/>
      <c r="F8" s="100"/>
      <c r="G8" s="87" t="s">
        <v>208</v>
      </c>
      <c r="H8" s="69"/>
      <c r="I8" s="69"/>
      <c r="J8" s="68"/>
      <c r="K8" s="70">
        <f>SUM(K3:K7)</f>
        <v>36.69</v>
      </c>
      <c r="M8" s="17" t="s">
        <v>113</v>
      </c>
      <c r="N8" s="74">
        <v>150</v>
      </c>
      <c r="O8" s="23" t="s">
        <v>32</v>
      </c>
      <c r="P8" s="17" t="s">
        <v>29</v>
      </c>
      <c r="Q8" s="75">
        <v>379</v>
      </c>
      <c r="R8" s="23" t="s">
        <v>32</v>
      </c>
      <c r="S8" s="16" t="s">
        <v>93</v>
      </c>
      <c r="T8" s="76">
        <v>145</v>
      </c>
      <c r="U8" s="16" t="s">
        <v>172</v>
      </c>
      <c r="V8" s="16" t="s">
        <v>151</v>
      </c>
      <c r="W8" s="16"/>
    </row>
    <row r="9" spans="1:24" ht="17.25" thickBot="1" x14ac:dyDescent="0.3">
      <c r="A9" s="53" t="s">
        <v>205</v>
      </c>
      <c r="B9" s="82"/>
      <c r="C9" s="82"/>
      <c r="D9" s="83"/>
      <c r="E9" s="51">
        <v>250</v>
      </c>
      <c r="F9" s="102"/>
      <c r="M9" s="17" t="s">
        <v>2</v>
      </c>
      <c r="N9" s="74">
        <v>81</v>
      </c>
      <c r="O9" s="23" t="s">
        <v>32</v>
      </c>
      <c r="P9" s="17"/>
      <c r="Q9" s="74"/>
      <c r="R9" s="16"/>
      <c r="S9" s="17" t="s">
        <v>14</v>
      </c>
      <c r="T9" s="77">
        <v>50</v>
      </c>
      <c r="U9" s="16" t="s">
        <v>34</v>
      </c>
      <c r="V9" s="16" t="s">
        <v>143</v>
      </c>
      <c r="W9" s="16"/>
    </row>
    <row r="10" spans="1:24" ht="17.25" thickBot="1" x14ac:dyDescent="0.3">
      <c r="A10" s="96" t="s">
        <v>213</v>
      </c>
      <c r="B10" s="52"/>
      <c r="C10" s="52"/>
      <c r="D10" s="68">
        <f>E9-D8</f>
        <v>213.31</v>
      </c>
      <c r="E10" s="47"/>
      <c r="F10" s="103">
        <f>(D10/E9)*100</f>
        <v>85.323999999999998</v>
      </c>
      <c r="M10" s="17" t="s">
        <v>4</v>
      </c>
      <c r="N10" s="74">
        <v>63</v>
      </c>
      <c r="O10" s="23" t="s">
        <v>32</v>
      </c>
      <c r="P10" s="17"/>
      <c r="Q10" s="74"/>
      <c r="R10" s="16"/>
      <c r="S10" s="17" t="s">
        <v>10</v>
      </c>
      <c r="T10" s="77">
        <v>67</v>
      </c>
      <c r="U10" s="16" t="s">
        <v>32</v>
      </c>
      <c r="V10" s="16" t="s">
        <v>175</v>
      </c>
      <c r="W10" s="16"/>
    </row>
    <row r="11" spans="1:24" ht="16.5" x14ac:dyDescent="0.25">
      <c r="D11"/>
      <c r="M11" s="17" t="s">
        <v>3</v>
      </c>
      <c r="N11" s="74">
        <v>79</v>
      </c>
      <c r="O11" s="23" t="s">
        <v>32</v>
      </c>
      <c r="P11" s="17" t="s">
        <v>225</v>
      </c>
      <c r="Q11" s="74">
        <v>50</v>
      </c>
      <c r="R11" s="16" t="s">
        <v>229</v>
      </c>
      <c r="S11" s="16" t="s">
        <v>66</v>
      </c>
      <c r="T11" s="76">
        <v>120</v>
      </c>
      <c r="U11" s="16" t="s">
        <v>32</v>
      </c>
      <c r="V11" s="16" t="s">
        <v>151</v>
      </c>
      <c r="W11" s="16"/>
    </row>
    <row r="12" spans="1:24" ht="16.5" x14ac:dyDescent="0.25">
      <c r="D12"/>
      <c r="M12" s="16" t="s">
        <v>224</v>
      </c>
      <c r="N12" s="74">
        <v>29.8</v>
      </c>
      <c r="O12" s="16" t="s">
        <v>229</v>
      </c>
      <c r="P12" s="16" t="s">
        <v>231</v>
      </c>
      <c r="Q12" s="74">
        <v>5</v>
      </c>
      <c r="R12" s="16" t="s">
        <v>159</v>
      </c>
      <c r="S12" s="17" t="s">
        <v>166</v>
      </c>
      <c r="T12" s="74">
        <v>106</v>
      </c>
      <c r="U12" s="16" t="s">
        <v>167</v>
      </c>
      <c r="V12" s="16" t="s">
        <v>170</v>
      </c>
      <c r="W12" s="16"/>
    </row>
    <row r="13" spans="1:24" ht="17.25" thickBot="1" x14ac:dyDescent="0.3">
      <c r="D13"/>
      <c r="M13" s="16"/>
      <c r="N13" s="74"/>
      <c r="O13" s="16"/>
      <c r="P13" s="16"/>
      <c r="Q13" s="74"/>
      <c r="R13" s="16"/>
      <c r="S13" s="17" t="s">
        <v>108</v>
      </c>
      <c r="T13" s="74">
        <v>44.2</v>
      </c>
      <c r="U13" s="16" t="s">
        <v>128</v>
      </c>
      <c r="V13" s="16" t="s">
        <v>176</v>
      </c>
      <c r="W13" s="16"/>
    </row>
    <row r="14" spans="1:24" ht="15.75" thickBot="1" x14ac:dyDescent="0.25">
      <c r="A14" s="121" t="s">
        <v>114</v>
      </c>
      <c r="B14" s="130" t="s">
        <v>198</v>
      </c>
      <c r="C14" s="130"/>
      <c r="D14" s="110" t="s">
        <v>197</v>
      </c>
      <c r="E14" s="111" t="s">
        <v>199</v>
      </c>
      <c r="F14" s="106" t="s">
        <v>202</v>
      </c>
      <c r="G14" s="60" t="s">
        <v>206</v>
      </c>
      <c r="H14" s="61" t="s">
        <v>39</v>
      </c>
      <c r="I14" s="61" t="s">
        <v>198</v>
      </c>
      <c r="J14" s="46" t="s">
        <v>145</v>
      </c>
      <c r="K14" s="64" t="s">
        <v>207</v>
      </c>
      <c r="M14" s="16"/>
      <c r="N14" s="74"/>
      <c r="O14" s="16"/>
      <c r="P14" s="16"/>
      <c r="Q14" s="74"/>
      <c r="R14" s="16"/>
      <c r="S14" s="16" t="s">
        <v>163</v>
      </c>
      <c r="T14" s="76">
        <v>143</v>
      </c>
      <c r="U14" s="16" t="s">
        <v>128</v>
      </c>
      <c r="V14" s="16" t="s">
        <v>164</v>
      </c>
      <c r="W14" s="16"/>
    </row>
    <row r="15" spans="1:24" ht="17.25" thickBot="1" x14ac:dyDescent="0.3">
      <c r="A15" s="4" t="s">
        <v>15</v>
      </c>
      <c r="B15" s="50">
        <v>100</v>
      </c>
      <c r="C15" s="52" t="s">
        <v>218</v>
      </c>
      <c r="D15" s="47">
        <f>(B15/1000)*H15</f>
        <v>9.7000000000000011</v>
      </c>
      <c r="E15" s="46"/>
      <c r="F15" s="104"/>
      <c r="G15" t="s">
        <v>15</v>
      </c>
      <c r="H15" s="57">
        <v>97</v>
      </c>
      <c r="I15" s="57">
        <v>1000</v>
      </c>
      <c r="J15" t="s">
        <v>170</v>
      </c>
      <c r="K15" s="59">
        <f>(B15/I15)*H15</f>
        <v>9.7000000000000011</v>
      </c>
      <c r="M15" s="17"/>
      <c r="N15" s="75"/>
      <c r="O15" s="23"/>
      <c r="P15" s="17"/>
      <c r="Q15" s="75"/>
      <c r="R15" s="17"/>
      <c r="S15" s="17" t="s">
        <v>15</v>
      </c>
      <c r="T15" s="77">
        <v>97</v>
      </c>
      <c r="U15" s="16" t="s">
        <v>181</v>
      </c>
      <c r="V15" s="16" t="s">
        <v>143</v>
      </c>
      <c r="W15" s="16"/>
    </row>
    <row r="16" spans="1:24" ht="17.25" thickBot="1" x14ac:dyDescent="0.3">
      <c r="A16" s="4" t="s">
        <v>14</v>
      </c>
      <c r="B16" s="50">
        <v>50</v>
      </c>
      <c r="C16" s="52" t="s">
        <v>218</v>
      </c>
      <c r="D16" s="47">
        <f>(B16/250)*H16</f>
        <v>10</v>
      </c>
      <c r="E16" s="46"/>
      <c r="F16" s="104"/>
      <c r="G16" t="s">
        <v>14</v>
      </c>
      <c r="H16" s="57">
        <v>50</v>
      </c>
      <c r="I16" s="57">
        <v>250</v>
      </c>
      <c r="J16" t="s">
        <v>170</v>
      </c>
      <c r="K16" s="59">
        <f>(B16/250)*H16</f>
        <v>10</v>
      </c>
      <c r="M16" s="17"/>
      <c r="N16" s="75"/>
      <c r="O16" s="17"/>
      <c r="P16" s="17"/>
      <c r="Q16" s="75"/>
      <c r="R16" s="17"/>
      <c r="S16" s="17" t="s">
        <v>23</v>
      </c>
      <c r="T16" s="77">
        <v>13</v>
      </c>
      <c r="U16" s="16" t="s">
        <v>37</v>
      </c>
      <c r="V16" s="16" t="s">
        <v>146</v>
      </c>
      <c r="W16" s="16"/>
    </row>
    <row r="17" spans="1:23" ht="17.25" thickBot="1" x14ac:dyDescent="0.3">
      <c r="A17" s="4" t="s">
        <v>73</v>
      </c>
      <c r="B17" s="50">
        <v>15</v>
      </c>
      <c r="C17" s="52" t="s">
        <v>218</v>
      </c>
      <c r="D17" s="47">
        <f>(B17/227)*T17</f>
        <v>12.951541850220265</v>
      </c>
      <c r="E17" s="46"/>
      <c r="F17" s="104"/>
      <c r="G17" t="s">
        <v>214</v>
      </c>
      <c r="H17" s="57">
        <v>196</v>
      </c>
      <c r="I17" s="57">
        <v>1000</v>
      </c>
      <c r="K17" s="59">
        <f>(B17/1000)*H17</f>
        <v>2.94</v>
      </c>
      <c r="M17" s="17"/>
      <c r="N17" s="75"/>
      <c r="O17" s="17"/>
      <c r="P17" s="17"/>
      <c r="Q17" s="75"/>
      <c r="R17" s="17"/>
      <c r="S17" s="17" t="s">
        <v>26</v>
      </c>
      <c r="T17" s="77">
        <v>196</v>
      </c>
      <c r="U17" s="16" t="s">
        <v>162</v>
      </c>
      <c r="V17" s="16" t="s">
        <v>144</v>
      </c>
      <c r="W17" s="16"/>
    </row>
    <row r="18" spans="1:23" ht="17.25" thickBot="1" x14ac:dyDescent="0.3">
      <c r="A18" s="4" t="s">
        <v>75</v>
      </c>
      <c r="B18" s="50">
        <v>150</v>
      </c>
      <c r="C18" s="52" t="s">
        <v>218</v>
      </c>
      <c r="D18" s="47">
        <f>(B18/1000)*T22</f>
        <v>13.2</v>
      </c>
      <c r="E18" s="46"/>
      <c r="F18" s="104"/>
      <c r="G18" t="s">
        <v>215</v>
      </c>
      <c r="H18" s="58">
        <v>88</v>
      </c>
      <c r="I18" s="58">
        <v>1000</v>
      </c>
      <c r="J18" t="s">
        <v>149</v>
      </c>
      <c r="K18" s="59">
        <f>(B18/1000)*H18</f>
        <v>13.2</v>
      </c>
      <c r="M18" s="16"/>
      <c r="N18" s="74"/>
      <c r="O18" s="16"/>
      <c r="P18" s="16"/>
      <c r="Q18" s="74"/>
      <c r="R18" s="16"/>
      <c r="S18" s="17" t="s">
        <v>79</v>
      </c>
      <c r="T18" s="74">
        <v>349</v>
      </c>
      <c r="U18" s="16" t="s">
        <v>118</v>
      </c>
      <c r="V18" s="16" t="s">
        <v>153</v>
      </c>
      <c r="W18" s="16"/>
    </row>
    <row r="19" spans="1:23" ht="17.25" thickBot="1" x14ac:dyDescent="0.3">
      <c r="A19" s="4" t="s">
        <v>210</v>
      </c>
      <c r="B19" s="50">
        <v>5</v>
      </c>
      <c r="C19" s="52" t="s">
        <v>218</v>
      </c>
      <c r="D19" s="47">
        <f>(B19/1000)*T37</f>
        <v>2.57</v>
      </c>
      <c r="E19" s="46"/>
      <c r="F19" s="104"/>
      <c r="G19" t="s">
        <v>211</v>
      </c>
      <c r="H19" s="58">
        <v>514</v>
      </c>
      <c r="I19" s="58">
        <v>1000</v>
      </c>
      <c r="J19" t="s">
        <v>216</v>
      </c>
      <c r="K19" s="59">
        <f>(B19/1000)*H19</f>
        <v>2.57</v>
      </c>
      <c r="M19" s="17"/>
      <c r="N19" s="75"/>
      <c r="O19" s="17"/>
      <c r="P19" s="17"/>
      <c r="Q19" s="75"/>
      <c r="R19" s="17"/>
      <c r="S19" s="17" t="s">
        <v>24</v>
      </c>
      <c r="T19" s="77">
        <v>48</v>
      </c>
      <c r="U19" s="16" t="s">
        <v>135</v>
      </c>
      <c r="V19" s="16" t="s">
        <v>153</v>
      </c>
      <c r="W19" s="16"/>
    </row>
    <row r="20" spans="1:23" ht="17.25" thickBot="1" x14ac:dyDescent="0.3">
      <c r="A20" s="137" t="s">
        <v>200</v>
      </c>
      <c r="B20" s="136"/>
      <c r="C20" s="136"/>
      <c r="D20" s="51">
        <f>SUM(D15:D19)</f>
        <v>48.421541850220272</v>
      </c>
      <c r="E20" s="46"/>
      <c r="F20" s="104"/>
      <c r="G20" t="s">
        <v>208</v>
      </c>
      <c r="K20" s="59">
        <f>SUM(K15:K19)</f>
        <v>38.410000000000004</v>
      </c>
      <c r="M20" s="16"/>
      <c r="N20" s="74"/>
      <c r="O20" s="16"/>
      <c r="P20" s="16"/>
      <c r="Q20" s="74"/>
      <c r="R20" s="16"/>
      <c r="S20" s="17" t="s">
        <v>168</v>
      </c>
      <c r="T20" s="74">
        <v>151.5</v>
      </c>
      <c r="U20" s="16" t="s">
        <v>177</v>
      </c>
      <c r="V20" s="16" t="s">
        <v>176</v>
      </c>
      <c r="W20" s="16"/>
    </row>
    <row r="21" spans="1:23" ht="17.25" thickBot="1" x14ac:dyDescent="0.3">
      <c r="A21" s="108" t="s">
        <v>205</v>
      </c>
      <c r="B21" s="82"/>
      <c r="C21" s="82"/>
      <c r="D21" s="83"/>
      <c r="E21" s="51">
        <v>250</v>
      </c>
      <c r="F21" s="109"/>
      <c r="M21" s="16"/>
      <c r="N21" s="74"/>
      <c r="O21" s="16"/>
      <c r="P21" s="16"/>
      <c r="Q21" s="74"/>
      <c r="R21" s="16"/>
      <c r="S21" s="17" t="s">
        <v>16</v>
      </c>
      <c r="T21" s="77">
        <v>48</v>
      </c>
      <c r="U21" s="16" t="s">
        <v>33</v>
      </c>
      <c r="V21" s="16"/>
      <c r="W21" s="16"/>
    </row>
    <row r="22" spans="1:23" ht="16.5" x14ac:dyDescent="0.25">
      <c r="A22" s="112" t="s">
        <v>213</v>
      </c>
      <c r="B22" s="93"/>
      <c r="C22" s="93"/>
      <c r="D22" s="113">
        <f>E21-D20</f>
        <v>201.57845814977972</v>
      </c>
      <c r="E22" s="95"/>
      <c r="F22" s="114">
        <f>(D22/E21)*100</f>
        <v>80.6313832599119</v>
      </c>
      <c r="M22" s="17"/>
      <c r="N22" s="75"/>
      <c r="O22" s="17"/>
      <c r="P22" s="17"/>
      <c r="Q22" s="75"/>
      <c r="R22" s="17"/>
      <c r="S22" s="17" t="s">
        <v>209</v>
      </c>
      <c r="T22" s="77">
        <v>88</v>
      </c>
      <c r="U22" s="16" t="s">
        <v>32</v>
      </c>
      <c r="V22" s="16" t="s">
        <v>149</v>
      </c>
      <c r="W22" s="16"/>
    </row>
    <row r="23" spans="1:23" ht="16.5" x14ac:dyDescent="0.25">
      <c r="A23" s="66"/>
      <c r="B23" s="39"/>
      <c r="C23" s="39"/>
      <c r="M23" s="17"/>
      <c r="N23" s="75"/>
      <c r="O23" s="17"/>
      <c r="P23" s="17"/>
      <c r="Q23" s="75"/>
      <c r="R23" s="17"/>
      <c r="S23" s="17" t="s">
        <v>21</v>
      </c>
      <c r="T23" s="77">
        <v>31</v>
      </c>
      <c r="U23" s="16" t="s">
        <v>35</v>
      </c>
      <c r="V23" s="16" t="s">
        <v>148</v>
      </c>
      <c r="W23" s="16"/>
    </row>
    <row r="24" spans="1:23" ht="16.5" x14ac:dyDescent="0.25">
      <c r="A24" s="66"/>
      <c r="B24" s="39"/>
      <c r="C24" s="39"/>
      <c r="M24" s="17"/>
      <c r="N24" s="75"/>
      <c r="O24" s="17"/>
      <c r="P24" s="17"/>
      <c r="Q24" s="75"/>
      <c r="R24" s="17"/>
      <c r="S24" s="17" t="s">
        <v>19</v>
      </c>
      <c r="T24" s="77">
        <v>60</v>
      </c>
      <c r="U24" s="16" t="s">
        <v>173</v>
      </c>
      <c r="V24" s="16" t="s">
        <v>154</v>
      </c>
      <c r="W24" s="16"/>
    </row>
    <row r="25" spans="1:23" ht="16.5" x14ac:dyDescent="0.25">
      <c r="A25" s="66"/>
      <c r="B25" s="39"/>
      <c r="C25" s="39"/>
      <c r="M25" s="17"/>
      <c r="N25" s="75"/>
      <c r="O25" s="17"/>
      <c r="P25" s="17"/>
      <c r="Q25" s="75"/>
      <c r="R25" s="17"/>
      <c r="S25" s="17" t="s">
        <v>18</v>
      </c>
      <c r="T25" s="77">
        <v>78</v>
      </c>
      <c r="U25" s="16" t="s">
        <v>32</v>
      </c>
      <c r="V25" s="16" t="s">
        <v>176</v>
      </c>
      <c r="W25" s="16"/>
    </row>
    <row r="26" spans="1:23" ht="17.25" thickBot="1" x14ac:dyDescent="0.3">
      <c r="B26" s="39"/>
      <c r="C26" s="39"/>
      <c r="M26" s="17"/>
      <c r="N26" s="75"/>
      <c r="O26" s="17"/>
      <c r="P26" s="17"/>
      <c r="Q26" s="75"/>
      <c r="R26" s="17"/>
      <c r="S26" s="17" t="s">
        <v>17</v>
      </c>
      <c r="T26" s="77">
        <v>78</v>
      </c>
      <c r="U26" s="16" t="s">
        <v>32</v>
      </c>
      <c r="V26" s="16" t="s">
        <v>176</v>
      </c>
      <c r="W26" s="16"/>
    </row>
    <row r="27" spans="1:23" ht="17.25" thickBot="1" x14ac:dyDescent="0.3">
      <c r="A27" s="120" t="s">
        <v>74</v>
      </c>
      <c r="B27" s="131" t="s">
        <v>203</v>
      </c>
      <c r="C27" s="131"/>
      <c r="D27" s="47" t="s">
        <v>197</v>
      </c>
      <c r="E27" s="68" t="s">
        <v>199</v>
      </c>
      <c r="F27" s="102" t="s">
        <v>202</v>
      </c>
      <c r="M27" s="16"/>
      <c r="N27" s="74"/>
      <c r="O27" s="16"/>
      <c r="P27" s="16"/>
      <c r="Q27" s="74"/>
      <c r="R27" s="16"/>
      <c r="S27" s="17" t="s">
        <v>12</v>
      </c>
      <c r="T27" s="77">
        <v>35</v>
      </c>
      <c r="U27" s="16" t="s">
        <v>118</v>
      </c>
      <c r="V27" s="16" t="s">
        <v>149</v>
      </c>
      <c r="W27" s="16"/>
    </row>
    <row r="28" spans="1:23" ht="17.25" thickBot="1" x14ac:dyDescent="0.3">
      <c r="A28" s="5" t="s">
        <v>75</v>
      </c>
      <c r="B28" s="52">
        <v>150</v>
      </c>
      <c r="C28" s="52" t="s">
        <v>218</v>
      </c>
      <c r="D28" s="47">
        <f>(B28/1000)*T22</f>
        <v>13.2</v>
      </c>
      <c r="E28" s="57"/>
      <c r="F28" s="57"/>
      <c r="H28" s="59"/>
      <c r="I28" s="59"/>
      <c r="J28" s="59"/>
      <c r="M28" s="16"/>
      <c r="N28" s="74"/>
      <c r="O28" s="16"/>
      <c r="P28" s="16"/>
      <c r="Q28" s="74"/>
      <c r="R28" s="16"/>
      <c r="S28" s="17" t="s">
        <v>11</v>
      </c>
      <c r="T28" s="77">
        <v>86</v>
      </c>
      <c r="U28" s="16" t="s">
        <v>32</v>
      </c>
      <c r="V28" s="16" t="s">
        <v>149</v>
      </c>
      <c r="W28" s="16"/>
    </row>
    <row r="29" spans="1:23" ht="17.25" thickBot="1" x14ac:dyDescent="0.3">
      <c r="A29" s="5" t="s">
        <v>73</v>
      </c>
      <c r="B29" s="52">
        <v>15</v>
      </c>
      <c r="C29" s="52" t="s">
        <v>218</v>
      </c>
      <c r="D29" s="47">
        <f>(B29/227)*T17</f>
        <v>12.951541850220265</v>
      </c>
      <c r="E29" s="57"/>
      <c r="F29" s="57"/>
      <c r="H29" s="59"/>
      <c r="I29" s="59"/>
      <c r="J29" s="59"/>
      <c r="M29" s="16"/>
      <c r="N29" s="74"/>
      <c r="O29" s="16"/>
      <c r="P29" s="16"/>
      <c r="Q29" s="74"/>
      <c r="R29" s="16"/>
      <c r="S29" s="17" t="s">
        <v>20</v>
      </c>
      <c r="T29" s="77">
        <v>43</v>
      </c>
      <c r="U29" s="16" t="s">
        <v>173</v>
      </c>
      <c r="V29" s="16" t="s">
        <v>155</v>
      </c>
      <c r="W29" s="16"/>
    </row>
    <row r="30" spans="1:23" ht="17.25" thickBot="1" x14ac:dyDescent="0.3">
      <c r="A30" s="5" t="s">
        <v>76</v>
      </c>
      <c r="B30" s="52">
        <v>45</v>
      </c>
      <c r="C30" s="52" t="s">
        <v>218</v>
      </c>
      <c r="D30" s="47">
        <f>(B30/900)*T38</f>
        <v>16.655000000000001</v>
      </c>
      <c r="E30" s="57"/>
      <c r="F30" s="57"/>
      <c r="H30" s="59"/>
      <c r="I30" s="59"/>
      <c r="J30" s="59"/>
      <c r="M30" s="16"/>
      <c r="N30" s="74"/>
      <c r="O30" s="16"/>
      <c r="P30" s="16"/>
      <c r="Q30" s="74"/>
      <c r="R30" s="16"/>
      <c r="S30" s="17" t="s">
        <v>13</v>
      </c>
      <c r="T30" s="77">
        <v>142</v>
      </c>
      <c r="U30" s="16" t="s">
        <v>33</v>
      </c>
      <c r="V30" s="16" t="s">
        <v>147</v>
      </c>
      <c r="W30" s="16"/>
    </row>
    <row r="31" spans="1:23" ht="17.25" thickBot="1" x14ac:dyDescent="0.3">
      <c r="A31" s="5" t="s">
        <v>15</v>
      </c>
      <c r="B31" s="52">
        <v>100</v>
      </c>
      <c r="C31" s="52" t="s">
        <v>218</v>
      </c>
      <c r="D31" s="47">
        <f>(B31/1000)*T15</f>
        <v>9.7000000000000011</v>
      </c>
      <c r="E31" s="57"/>
      <c r="F31" s="57"/>
      <c r="H31" s="59"/>
      <c r="I31" s="59"/>
      <c r="J31" s="59"/>
      <c r="M31" s="16"/>
      <c r="N31" s="74"/>
      <c r="O31" s="16"/>
      <c r="P31" s="16"/>
      <c r="Q31" s="74"/>
      <c r="R31" s="16"/>
      <c r="S31" s="17" t="s">
        <v>182</v>
      </c>
      <c r="T31" s="74"/>
      <c r="U31" s="16"/>
      <c r="V31" s="16"/>
      <c r="W31" s="16"/>
    </row>
    <row r="32" spans="1:23" ht="17.25" thickBot="1" x14ac:dyDescent="0.3">
      <c r="A32" s="5" t="s">
        <v>217</v>
      </c>
      <c r="B32" s="52">
        <v>5</v>
      </c>
      <c r="C32" s="52" t="s">
        <v>218</v>
      </c>
      <c r="D32" s="47">
        <f>(B32/1000)*T37</f>
        <v>2.57</v>
      </c>
      <c r="E32" s="57"/>
      <c r="F32" s="57"/>
      <c r="H32" s="59"/>
      <c r="I32" s="59"/>
      <c r="J32" s="59"/>
      <c r="M32" s="16"/>
      <c r="N32" s="74"/>
      <c r="O32" s="16"/>
      <c r="P32" s="16"/>
      <c r="Q32" s="74"/>
      <c r="R32" s="16"/>
      <c r="S32" s="17" t="s">
        <v>95</v>
      </c>
      <c r="T32" s="78">
        <v>42.5</v>
      </c>
      <c r="U32" s="16" t="s">
        <v>183</v>
      </c>
      <c r="V32" s="16" t="s">
        <v>184</v>
      </c>
      <c r="W32" s="16"/>
    </row>
    <row r="33" spans="1:23" ht="17.25" thickBot="1" x14ac:dyDescent="0.3">
      <c r="A33" s="138" t="s">
        <v>200</v>
      </c>
      <c r="B33" s="138"/>
      <c r="C33" s="138"/>
      <c r="D33" s="51">
        <f>SUM(D28:D32)</f>
        <v>55.076541850220266</v>
      </c>
      <c r="E33" s="57"/>
      <c r="F33" s="57"/>
      <c r="H33" s="59"/>
      <c r="I33" s="59"/>
      <c r="J33" s="59"/>
      <c r="M33" s="16"/>
      <c r="N33" s="74"/>
      <c r="O33" s="16"/>
      <c r="P33" s="16"/>
      <c r="Q33" s="74"/>
      <c r="R33" s="16"/>
      <c r="S33" s="17" t="s">
        <v>185</v>
      </c>
      <c r="T33" s="74">
        <v>24</v>
      </c>
      <c r="U33" s="16" t="s">
        <v>130</v>
      </c>
      <c r="V33" s="16" t="s">
        <v>187</v>
      </c>
      <c r="W33" s="16"/>
    </row>
    <row r="34" spans="1:23" ht="17.25" thickBot="1" x14ac:dyDescent="0.3">
      <c r="A34" s="81" t="s">
        <v>205</v>
      </c>
      <c r="B34" s="82"/>
      <c r="C34" s="82"/>
      <c r="D34" s="83"/>
      <c r="E34" s="86">
        <v>250</v>
      </c>
      <c r="F34" s="102"/>
      <c r="M34" s="16"/>
      <c r="N34" s="74"/>
      <c r="O34" s="16"/>
      <c r="P34" s="16"/>
      <c r="Q34" s="74"/>
      <c r="R34" s="16"/>
      <c r="S34" s="17" t="s">
        <v>101</v>
      </c>
      <c r="T34" s="74">
        <v>45</v>
      </c>
      <c r="U34" s="16" t="s">
        <v>188</v>
      </c>
      <c r="V34" s="16" t="s">
        <v>189</v>
      </c>
      <c r="W34" s="16"/>
    </row>
    <row r="35" spans="1:23" ht="17.25" thickBot="1" x14ac:dyDescent="0.3">
      <c r="A35" s="98" t="s">
        <v>213</v>
      </c>
      <c r="B35" s="52"/>
      <c r="C35" s="52"/>
      <c r="D35" s="45">
        <f>E34-D33</f>
        <v>194.92345814977972</v>
      </c>
      <c r="E35" s="46"/>
      <c r="F35" s="103">
        <f>(D35/E34)*100</f>
        <v>77.969383259911879</v>
      </c>
      <c r="M35" s="16"/>
      <c r="N35" s="74"/>
      <c r="O35" s="16"/>
      <c r="P35" s="16"/>
      <c r="Q35" s="74"/>
      <c r="R35" s="16"/>
      <c r="S35" s="17" t="s">
        <v>102</v>
      </c>
      <c r="T35" s="74">
        <v>17</v>
      </c>
      <c r="U35" s="16" t="s">
        <v>135</v>
      </c>
      <c r="V35" s="16" t="s">
        <v>190</v>
      </c>
      <c r="W35" s="16"/>
    </row>
    <row r="36" spans="1:23" ht="16.5" x14ac:dyDescent="0.25">
      <c r="B36" s="39"/>
      <c r="C36" s="39"/>
      <c r="M36" s="16"/>
      <c r="N36" s="74"/>
      <c r="O36" s="16"/>
      <c r="P36" s="16"/>
      <c r="Q36" s="74"/>
      <c r="R36" s="16"/>
      <c r="S36" s="17" t="s">
        <v>194</v>
      </c>
      <c r="T36" s="74">
        <v>94.5</v>
      </c>
      <c r="U36" s="16" t="s">
        <v>128</v>
      </c>
      <c r="V36" s="16" t="s">
        <v>190</v>
      </c>
      <c r="W36" s="16"/>
    </row>
    <row r="37" spans="1:23" ht="17.25" thickBot="1" x14ac:dyDescent="0.3">
      <c r="B37" s="39"/>
      <c r="C37" s="39"/>
      <c r="L37" t="s">
        <v>221</v>
      </c>
      <c r="M37" s="16"/>
      <c r="N37" s="74"/>
      <c r="O37" s="16"/>
      <c r="P37" s="16"/>
      <c r="Q37" s="74"/>
      <c r="R37" s="16"/>
      <c r="S37" s="72" t="s">
        <v>211</v>
      </c>
      <c r="T37" s="74">
        <v>514</v>
      </c>
      <c r="U37" s="16" t="s">
        <v>32</v>
      </c>
      <c r="V37" s="16" t="s">
        <v>212</v>
      </c>
      <c r="W37" s="16"/>
    </row>
    <row r="38" spans="1:23" ht="17.25" thickBot="1" x14ac:dyDescent="0.3">
      <c r="A38" s="122" t="s">
        <v>115</v>
      </c>
      <c r="B38" s="39"/>
      <c r="C38" s="39"/>
      <c r="S38" s="67" t="s">
        <v>25</v>
      </c>
      <c r="T38" s="84">
        <v>333.1</v>
      </c>
      <c r="U38" s="85" t="s">
        <v>220</v>
      </c>
      <c r="V38" s="85" t="s">
        <v>219</v>
      </c>
    </row>
    <row r="39" spans="1:23" ht="19.5" thickBot="1" x14ac:dyDescent="0.3">
      <c r="A39" s="6" t="s">
        <v>116</v>
      </c>
      <c r="B39" s="39" t="s">
        <v>32</v>
      </c>
      <c r="C39" s="39"/>
      <c r="D39" s="22">
        <v>143</v>
      </c>
      <c r="S39" s="67" t="s">
        <v>226</v>
      </c>
      <c r="T39" s="84">
        <v>137.6</v>
      </c>
      <c r="U39" s="85" t="s">
        <v>228</v>
      </c>
      <c r="V39" s="85" t="s">
        <v>227</v>
      </c>
    </row>
    <row r="40" spans="1:23" ht="17.25" thickBot="1" x14ac:dyDescent="0.3">
      <c r="A40" s="12" t="s">
        <v>117</v>
      </c>
      <c r="B40" s="39" t="s">
        <v>127</v>
      </c>
      <c r="C40" s="39"/>
      <c r="D40" s="22">
        <v>35</v>
      </c>
      <c r="S40" s="67" t="s">
        <v>233</v>
      </c>
      <c r="T40" s="84">
        <v>99</v>
      </c>
      <c r="U40" s="85" t="s">
        <v>160</v>
      </c>
      <c r="V40" s="85" t="s">
        <v>153</v>
      </c>
    </row>
    <row r="41" spans="1:23" ht="17.25" thickBot="1" x14ac:dyDescent="0.3">
      <c r="A41" s="12" t="s">
        <v>14</v>
      </c>
      <c r="B41" s="39" t="s">
        <v>33</v>
      </c>
      <c r="C41" s="39"/>
      <c r="D41" s="22">
        <v>134</v>
      </c>
      <c r="S41" s="67" t="s">
        <v>50</v>
      </c>
      <c r="T41" s="84">
        <v>217.2</v>
      </c>
      <c r="U41" s="85" t="s">
        <v>235</v>
      </c>
      <c r="V41" s="85" t="s">
        <v>236</v>
      </c>
    </row>
    <row r="42" spans="1:23" ht="17.25" thickBot="1" x14ac:dyDescent="0.3">
      <c r="A42" s="12" t="s">
        <v>76</v>
      </c>
      <c r="B42" s="39" t="s">
        <v>129</v>
      </c>
      <c r="C42" s="39"/>
      <c r="D42" s="22">
        <v>38</v>
      </c>
      <c r="S42" s="67" t="s">
        <v>51</v>
      </c>
      <c r="T42" s="84">
        <v>11.65</v>
      </c>
      <c r="U42" s="85" t="s">
        <v>118</v>
      </c>
      <c r="V42" s="85" t="s">
        <v>153</v>
      </c>
    </row>
    <row r="43" spans="1:23" x14ac:dyDescent="0.2">
      <c r="B43" s="39"/>
      <c r="C43" s="39"/>
    </row>
    <row r="44" spans="1:23" x14ac:dyDescent="0.2">
      <c r="B44" s="39"/>
      <c r="C44" s="39"/>
    </row>
    <row r="45" spans="1:23" x14ac:dyDescent="0.2">
      <c r="B45" s="39"/>
      <c r="C45" s="39"/>
    </row>
    <row r="46" spans="1:23" x14ac:dyDescent="0.2">
      <c r="B46" s="39"/>
      <c r="C46" s="39"/>
    </row>
    <row r="47" spans="1:23" x14ac:dyDescent="0.2">
      <c r="B47" s="39"/>
      <c r="C47" s="39"/>
    </row>
    <row r="48" spans="1:23" ht="15.75" thickBot="1" x14ac:dyDescent="0.25">
      <c r="A48" s="121" t="s">
        <v>63</v>
      </c>
      <c r="B48" s="130" t="s">
        <v>198</v>
      </c>
      <c r="C48" s="130"/>
      <c r="D48" s="90" t="s">
        <v>197</v>
      </c>
      <c r="E48" s="105" t="s">
        <v>199</v>
      </c>
      <c r="F48" s="106" t="s">
        <v>202</v>
      </c>
    </row>
    <row r="49" spans="1:20" ht="15.75" thickBot="1" x14ac:dyDescent="0.25">
      <c r="A49" s="4" t="s">
        <v>68</v>
      </c>
      <c r="B49" s="52">
        <v>150</v>
      </c>
      <c r="C49" s="52" t="s">
        <v>218</v>
      </c>
      <c r="D49" s="91">
        <f>(B49/1000)*Q3</f>
        <v>78.599999999999994</v>
      </c>
      <c r="E49" s="57"/>
      <c r="F49" s="57"/>
      <c r="H49" s="59"/>
      <c r="I49"/>
      <c r="K49" s="57"/>
      <c r="T49"/>
    </row>
    <row r="50" spans="1:20" ht="15.75" thickBot="1" x14ac:dyDescent="0.25">
      <c r="A50" s="4" t="s">
        <v>64</v>
      </c>
      <c r="B50" s="52">
        <v>15</v>
      </c>
      <c r="C50" s="52" t="s">
        <v>218</v>
      </c>
      <c r="D50" s="91">
        <f>(B50/1000)*T24</f>
        <v>0.89999999999999991</v>
      </c>
      <c r="E50" s="57"/>
      <c r="F50" s="57"/>
      <c r="H50" s="59"/>
      <c r="I50"/>
      <c r="K50" s="57"/>
      <c r="T50"/>
    </row>
    <row r="51" spans="1:20" ht="15.75" thickBot="1" x14ac:dyDescent="0.25">
      <c r="A51" s="4" t="s">
        <v>65</v>
      </c>
      <c r="B51" s="52">
        <v>15</v>
      </c>
      <c r="C51" s="52" t="s">
        <v>218</v>
      </c>
      <c r="D51" s="91">
        <f>(B51/1000)*T25</f>
        <v>1.17</v>
      </c>
      <c r="E51" s="57"/>
      <c r="F51" s="57"/>
      <c r="H51" s="59"/>
      <c r="I51"/>
      <c r="K51" s="57"/>
      <c r="T51"/>
    </row>
    <row r="52" spans="1:20" ht="15.75" thickBot="1" x14ac:dyDescent="0.25">
      <c r="A52" s="4" t="s">
        <v>9</v>
      </c>
      <c r="B52" s="52">
        <v>15</v>
      </c>
      <c r="C52" s="52" t="s">
        <v>218</v>
      </c>
      <c r="D52" s="91">
        <f>(B52/250)*T3</f>
        <v>2.34</v>
      </c>
      <c r="E52" s="57"/>
      <c r="F52" s="57"/>
      <c r="H52" s="59"/>
      <c r="I52"/>
      <c r="K52" s="57"/>
      <c r="T52"/>
    </row>
    <row r="53" spans="1:20" ht="15.75" thickBot="1" x14ac:dyDescent="0.25">
      <c r="A53" s="4" t="s">
        <v>66</v>
      </c>
      <c r="B53" s="52">
        <v>15</v>
      </c>
      <c r="C53" s="52" t="s">
        <v>218</v>
      </c>
      <c r="D53" s="91">
        <f>(B53/1000)*T11</f>
        <v>1.7999999999999998</v>
      </c>
      <c r="E53" s="57"/>
      <c r="F53" s="57"/>
      <c r="H53" s="59"/>
      <c r="I53"/>
      <c r="K53" s="57"/>
      <c r="T53"/>
    </row>
    <row r="54" spans="1:20" ht="15.75" thickBot="1" x14ac:dyDescent="0.25">
      <c r="A54" s="4" t="s">
        <v>67</v>
      </c>
      <c r="B54" s="52">
        <v>5</v>
      </c>
      <c r="C54" s="52" t="s">
        <v>218</v>
      </c>
      <c r="D54" s="91">
        <f>(B54/380)*T30</f>
        <v>1.8684210526315788</v>
      </c>
      <c r="E54" s="57"/>
      <c r="F54" s="57"/>
      <c r="H54" s="59"/>
      <c r="I54"/>
      <c r="K54" s="57"/>
      <c r="T54"/>
    </row>
    <row r="55" spans="1:20" ht="15.75" thickBot="1" x14ac:dyDescent="0.25">
      <c r="A55" s="4" t="s">
        <v>223</v>
      </c>
      <c r="B55" s="52">
        <v>5</v>
      </c>
      <c r="C55" s="52" t="s">
        <v>218</v>
      </c>
      <c r="D55" s="91">
        <f>(B55/500)*T12</f>
        <v>1.06</v>
      </c>
      <c r="E55" s="57"/>
      <c r="F55" s="57"/>
      <c r="H55" s="59"/>
      <c r="I55"/>
      <c r="K55" s="57"/>
      <c r="T55"/>
    </row>
    <row r="56" spans="1:20" ht="15.75" thickBot="1" x14ac:dyDescent="0.25">
      <c r="A56" s="107" t="s">
        <v>200</v>
      </c>
      <c r="B56" s="52"/>
      <c r="C56" s="52"/>
      <c r="D56" s="91">
        <f>SUM(D49,D50,D51,D52,D53,D54,D55)</f>
        <v>87.73842105263158</v>
      </c>
      <c r="E56" s="57"/>
      <c r="F56" s="57"/>
      <c r="H56" s="59"/>
      <c r="I56"/>
      <c r="K56" s="57"/>
      <c r="T56"/>
    </row>
    <row r="57" spans="1:20" ht="15.75" thickBot="1" x14ac:dyDescent="0.25">
      <c r="A57" s="108" t="s">
        <v>204</v>
      </c>
      <c r="B57" s="52"/>
      <c r="C57" s="52"/>
      <c r="D57" s="91"/>
      <c r="E57" s="86">
        <v>250</v>
      </c>
      <c r="F57" s="109"/>
    </row>
    <row r="58" spans="1:20" ht="15.75" thickBot="1" x14ac:dyDescent="0.25">
      <c r="A58" s="4" t="s">
        <v>201</v>
      </c>
      <c r="B58" s="52"/>
      <c r="C58" s="52"/>
      <c r="D58" s="91">
        <f>E57-D56</f>
        <v>162.26157894736843</v>
      </c>
      <c r="E58" s="46"/>
      <c r="F58" s="109">
        <f>(D58/E57)*100</f>
        <v>64.904631578947374</v>
      </c>
    </row>
    <row r="59" spans="1:20" x14ac:dyDescent="0.2">
      <c r="A59" s="92"/>
      <c r="B59" s="93"/>
      <c r="C59" s="93"/>
      <c r="D59" s="94"/>
      <c r="E59" s="95"/>
      <c r="F59" s="99"/>
    </row>
    <row r="60" spans="1:20" x14ac:dyDescent="0.2">
      <c r="A60" s="79"/>
      <c r="B60" s="80"/>
      <c r="C60" s="80"/>
      <c r="D60" s="97"/>
    </row>
    <row r="61" spans="1:20" ht="15.75" thickBot="1" x14ac:dyDescent="0.25">
      <c r="B61" s="39"/>
      <c r="C61" s="39"/>
    </row>
    <row r="62" spans="1:20" ht="15.75" thickBot="1" x14ac:dyDescent="0.25">
      <c r="A62" s="3" t="s">
        <v>77</v>
      </c>
      <c r="B62" s="39"/>
      <c r="C62" s="39"/>
    </row>
    <row r="63" spans="1:20" ht="15.75" thickBot="1" x14ac:dyDescent="0.25">
      <c r="A63" s="5" t="s">
        <v>78</v>
      </c>
      <c r="B63" s="39" t="s">
        <v>32</v>
      </c>
      <c r="C63" s="39"/>
      <c r="D63" s="22">
        <v>253</v>
      </c>
    </row>
    <row r="64" spans="1:20" ht="15.75" thickBot="1" x14ac:dyDescent="0.25">
      <c r="A64" s="5" t="s">
        <v>79</v>
      </c>
      <c r="B64" s="39" t="s">
        <v>165</v>
      </c>
      <c r="C64" s="39"/>
      <c r="D64" s="22">
        <v>11.6</v>
      </c>
    </row>
    <row r="65" spans="1:6" ht="15.75" thickBot="1" x14ac:dyDescent="0.25">
      <c r="A65" s="5" t="s">
        <v>108</v>
      </c>
      <c r="B65" s="39" t="s">
        <v>130</v>
      </c>
      <c r="C65" s="39"/>
      <c r="D65" s="22">
        <v>8.8000000000000007</v>
      </c>
    </row>
    <row r="66" spans="1:6" ht="15.75" thickBot="1" x14ac:dyDescent="0.25">
      <c r="A66" s="5" t="s">
        <v>178</v>
      </c>
      <c r="B66" s="39" t="s">
        <v>128</v>
      </c>
      <c r="C66" s="39"/>
      <c r="D66" s="22">
        <v>33.5</v>
      </c>
    </row>
    <row r="67" spans="1:6" ht="15.75" thickBot="1" x14ac:dyDescent="0.25">
      <c r="A67" s="5" t="s">
        <v>47</v>
      </c>
      <c r="B67" s="39" t="s">
        <v>169</v>
      </c>
      <c r="C67" s="39"/>
      <c r="D67" s="22">
        <v>11.7</v>
      </c>
    </row>
    <row r="68" spans="1:6" ht="16.5" customHeight="1" x14ac:dyDescent="0.2">
      <c r="A68" s="10"/>
      <c r="B68" s="39"/>
      <c r="C68" s="39"/>
    </row>
    <row r="69" spans="1:6" x14ac:dyDescent="0.2">
      <c r="A69" s="10"/>
      <c r="B69" s="39"/>
      <c r="C69" s="39"/>
    </row>
    <row r="70" spans="1:6" x14ac:dyDescent="0.2">
      <c r="B70" s="39"/>
      <c r="C70" s="39"/>
    </row>
    <row r="71" spans="1:6" ht="15.75" thickBot="1" x14ac:dyDescent="0.25">
      <c r="A71" s="121" t="s">
        <v>89</v>
      </c>
      <c r="B71" s="130" t="s">
        <v>203</v>
      </c>
      <c r="C71" s="130"/>
      <c r="D71" s="90" t="s">
        <v>197</v>
      </c>
      <c r="E71" s="68" t="s">
        <v>199</v>
      </c>
      <c r="F71" s="103" t="s">
        <v>230</v>
      </c>
    </row>
    <row r="72" spans="1:6" ht="15.75" thickBot="1" x14ac:dyDescent="0.25">
      <c r="A72" s="4" t="s">
        <v>27</v>
      </c>
      <c r="B72" s="123">
        <v>100</v>
      </c>
      <c r="C72" s="52"/>
      <c r="D72" s="47">
        <f>(B72/1000)*Q4</f>
        <v>18.5</v>
      </c>
      <c r="E72" s="46"/>
      <c r="F72" s="104"/>
    </row>
    <row r="73" spans="1:6" ht="15.75" thickBot="1" x14ac:dyDescent="0.25">
      <c r="A73" s="4" t="s">
        <v>90</v>
      </c>
      <c r="B73" s="52">
        <v>15</v>
      </c>
      <c r="C73" s="52"/>
      <c r="D73" s="47">
        <f>(B73/300)*Q11</f>
        <v>2.5</v>
      </c>
      <c r="E73" s="46"/>
      <c r="F73" s="104"/>
    </row>
    <row r="74" spans="1:6" ht="15.75" thickBot="1" x14ac:dyDescent="0.25">
      <c r="A74" s="4" t="s">
        <v>4</v>
      </c>
      <c r="B74" s="52">
        <v>5</v>
      </c>
      <c r="C74" s="52"/>
      <c r="D74" s="47">
        <f>(B74/1000)*N10</f>
        <v>0.315</v>
      </c>
      <c r="E74" s="46"/>
      <c r="F74" s="104"/>
    </row>
    <row r="75" spans="1:6" ht="15.75" thickBot="1" x14ac:dyDescent="0.25">
      <c r="A75" s="4" t="s">
        <v>5</v>
      </c>
      <c r="B75" s="52">
        <v>5</v>
      </c>
      <c r="C75" s="52"/>
      <c r="D75" s="47">
        <v>0.12</v>
      </c>
      <c r="E75" s="46"/>
      <c r="F75" s="104"/>
    </row>
    <row r="76" spans="1:6" ht="15.75" thickBot="1" x14ac:dyDescent="0.25">
      <c r="A76" s="4" t="s">
        <v>91</v>
      </c>
      <c r="B76" s="52">
        <v>1</v>
      </c>
      <c r="C76" s="52"/>
      <c r="D76" s="47">
        <f>(B76/1)*Q12</f>
        <v>5</v>
      </c>
      <c r="E76" s="46"/>
      <c r="F76" s="104"/>
    </row>
    <row r="77" spans="1:6" ht="15.75" thickBot="1" x14ac:dyDescent="0.25">
      <c r="A77" s="115" t="s">
        <v>224</v>
      </c>
      <c r="B77" s="52">
        <v>15</v>
      </c>
      <c r="C77" s="52"/>
      <c r="D77" s="47">
        <f>(B77/300)*N12</f>
        <v>1.4900000000000002</v>
      </c>
      <c r="E77" s="46"/>
      <c r="F77" s="104"/>
    </row>
    <row r="78" spans="1:6" ht="15.75" thickBot="1" x14ac:dyDescent="0.25">
      <c r="A78" s="116" t="s">
        <v>232</v>
      </c>
      <c r="B78" s="125">
        <v>30</v>
      </c>
      <c r="C78" s="52"/>
      <c r="D78" s="47">
        <f>(B78/230)*T3</f>
        <v>5.0869565217391299</v>
      </c>
      <c r="E78" s="46"/>
      <c r="F78" s="104"/>
    </row>
    <row r="79" spans="1:6" ht="15.75" thickBot="1" x14ac:dyDescent="0.25">
      <c r="A79" s="126" t="s">
        <v>200</v>
      </c>
      <c r="B79" s="52"/>
      <c r="C79" s="52"/>
      <c r="D79" s="51">
        <f>SUM(D72:D78)</f>
        <v>33.011956521739137</v>
      </c>
      <c r="E79" s="46"/>
      <c r="F79" s="104"/>
    </row>
    <row r="80" spans="1:6" ht="15.75" thickBot="1" x14ac:dyDescent="0.25">
      <c r="A80" s="127" t="s">
        <v>204</v>
      </c>
      <c r="B80" s="52"/>
      <c r="C80" s="52"/>
      <c r="D80" s="47"/>
      <c r="E80" s="86">
        <v>250</v>
      </c>
      <c r="F80" s="104"/>
    </row>
    <row r="81" spans="1:6" x14ac:dyDescent="0.2">
      <c r="A81" s="118" t="s">
        <v>201</v>
      </c>
      <c r="B81" s="93"/>
      <c r="C81" s="93"/>
      <c r="D81" s="117">
        <f>E80-D79</f>
        <v>216.98804347826086</v>
      </c>
      <c r="E81" s="95"/>
      <c r="F81" s="114">
        <f>(D81/E80)*100</f>
        <v>86.795217391304348</v>
      </c>
    </row>
    <row r="82" spans="1:6" x14ac:dyDescent="0.2">
      <c r="A82" s="119"/>
      <c r="B82" s="80"/>
      <c r="C82" s="80"/>
      <c r="D82" s="54"/>
      <c r="E82" s="55"/>
    </row>
    <row r="83" spans="1:6" x14ac:dyDescent="0.2">
      <c r="A83" s="55"/>
      <c r="B83" s="80"/>
      <c r="C83" s="80"/>
      <c r="D83" s="54"/>
      <c r="E83" s="55"/>
    </row>
    <row r="84" spans="1:6" ht="15.75" thickBot="1" x14ac:dyDescent="0.25">
      <c r="B84" s="39"/>
      <c r="C84" s="39"/>
    </row>
    <row r="85" spans="1:6" ht="15.75" thickBot="1" x14ac:dyDescent="0.25">
      <c r="A85" s="120" t="s">
        <v>99</v>
      </c>
      <c r="B85" s="131" t="s">
        <v>203</v>
      </c>
      <c r="C85" s="131"/>
      <c r="D85" s="47" t="s">
        <v>222</v>
      </c>
      <c r="E85" s="68" t="s">
        <v>199</v>
      </c>
      <c r="F85" s="103" t="s">
        <v>230</v>
      </c>
    </row>
    <row r="86" spans="1:6" ht="17.25" thickBot="1" x14ac:dyDescent="0.3">
      <c r="A86" s="9" t="s">
        <v>27</v>
      </c>
      <c r="B86" s="52">
        <v>100</v>
      </c>
      <c r="C86" s="52"/>
      <c r="D86" s="47">
        <f>(B86/1000)*Q4</f>
        <v>18.5</v>
      </c>
      <c r="E86" s="46"/>
      <c r="F86" s="100"/>
    </row>
    <row r="87" spans="1:6" ht="15.75" thickBot="1" x14ac:dyDescent="0.25">
      <c r="A87" s="5" t="s">
        <v>100</v>
      </c>
      <c r="B87" s="52">
        <v>20</v>
      </c>
      <c r="C87" s="52"/>
      <c r="D87" s="47">
        <f>(B87/230)*T3</f>
        <v>3.3913043478260869</v>
      </c>
      <c r="E87" s="46"/>
      <c r="F87" s="100"/>
    </row>
    <row r="88" spans="1:6" ht="15.75" thickBot="1" x14ac:dyDescent="0.25">
      <c r="A88" s="5" t="s">
        <v>73</v>
      </c>
      <c r="B88" s="52">
        <v>5</v>
      </c>
      <c r="C88" s="52"/>
      <c r="D88" s="47">
        <v>4.3</v>
      </c>
      <c r="E88" s="46"/>
      <c r="F88" s="100"/>
    </row>
    <row r="89" spans="1:6" ht="15.75" thickBot="1" x14ac:dyDescent="0.25">
      <c r="A89" s="7" t="s">
        <v>90</v>
      </c>
      <c r="B89" s="52">
        <v>20</v>
      </c>
      <c r="C89" s="52"/>
      <c r="D89" s="47">
        <f>(B89/300)*Q11</f>
        <v>3.3333333333333335</v>
      </c>
      <c r="E89" s="46"/>
      <c r="F89" s="100"/>
    </row>
    <row r="90" spans="1:6" ht="15.75" thickBot="1" x14ac:dyDescent="0.25">
      <c r="A90" s="7" t="s">
        <v>233</v>
      </c>
      <c r="B90" s="52">
        <v>5</v>
      </c>
      <c r="C90" s="52"/>
      <c r="D90" s="47">
        <f>(B90/200)*T40</f>
        <v>2.4750000000000001</v>
      </c>
      <c r="E90" s="46"/>
      <c r="F90" s="100"/>
    </row>
    <row r="91" spans="1:6" ht="15.75" thickBot="1" x14ac:dyDescent="0.25">
      <c r="A91" s="124" t="s">
        <v>200</v>
      </c>
      <c r="B91" s="52"/>
      <c r="C91" s="52"/>
      <c r="D91" s="51">
        <f>SUM(D86:D90)</f>
        <v>31.99963768115942</v>
      </c>
      <c r="E91" s="46"/>
      <c r="F91" s="100"/>
    </row>
    <row r="92" spans="1:6" ht="15.75" thickBot="1" x14ac:dyDescent="0.25">
      <c r="A92" s="81" t="s">
        <v>204</v>
      </c>
      <c r="B92" s="52"/>
      <c r="C92" s="52"/>
      <c r="D92" s="47"/>
      <c r="E92" s="86">
        <v>250</v>
      </c>
      <c r="F92" s="100"/>
    </row>
    <row r="93" spans="1:6" ht="15.75" thickBot="1" x14ac:dyDescent="0.25">
      <c r="A93" s="81" t="s">
        <v>201</v>
      </c>
      <c r="B93" s="52"/>
      <c r="C93" s="52"/>
      <c r="D93" s="51">
        <f>E92-D91</f>
        <v>218.00036231884059</v>
      </c>
      <c r="E93" s="46"/>
      <c r="F93" s="102">
        <f>(D93/E92)*100</f>
        <v>87.200144927536243</v>
      </c>
    </row>
    <row r="94" spans="1:6" x14ac:dyDescent="0.2">
      <c r="B94" s="39"/>
      <c r="C94" s="39"/>
    </row>
    <row r="95" spans="1:6" x14ac:dyDescent="0.2">
      <c r="B95" s="39"/>
      <c r="C95" s="39"/>
    </row>
    <row r="96" spans="1:6" ht="15.75" thickBot="1" x14ac:dyDescent="0.25">
      <c r="A96" s="121" t="s">
        <v>48</v>
      </c>
      <c r="B96" s="132" t="s">
        <v>203</v>
      </c>
      <c r="C96" s="133"/>
      <c r="D96" s="90" t="s">
        <v>222</v>
      </c>
      <c r="E96" s="68" t="s">
        <v>199</v>
      </c>
      <c r="F96" s="103" t="s">
        <v>230</v>
      </c>
    </row>
    <row r="97" spans="1:6" ht="15.75" thickBot="1" x14ac:dyDescent="0.25">
      <c r="A97" s="4" t="s">
        <v>49</v>
      </c>
      <c r="B97" s="52">
        <v>250</v>
      </c>
      <c r="C97" s="52"/>
      <c r="D97" s="47">
        <f>(B97/1000)*T10</f>
        <v>16.75</v>
      </c>
      <c r="E97" s="46"/>
      <c r="F97" s="104"/>
    </row>
    <row r="98" spans="1:6" ht="15.75" thickBot="1" x14ac:dyDescent="0.25">
      <c r="A98" s="4" t="s">
        <v>50</v>
      </c>
      <c r="B98" s="52">
        <v>15</v>
      </c>
      <c r="C98" s="52"/>
      <c r="D98" s="47">
        <f>(B98/1000)*T41</f>
        <v>3.2579999999999996</v>
      </c>
      <c r="E98" s="46"/>
      <c r="F98" s="104"/>
    </row>
    <row r="99" spans="1:6" ht="15.75" thickBot="1" x14ac:dyDescent="0.25">
      <c r="A99" s="4" t="s">
        <v>51</v>
      </c>
      <c r="B99" s="52">
        <v>2</v>
      </c>
      <c r="C99" s="52"/>
      <c r="D99" s="47">
        <f>(B99/150)*T42</f>
        <v>0.15533333333333335</v>
      </c>
      <c r="E99" s="46"/>
      <c r="F99" s="104"/>
    </row>
    <row r="100" spans="1:6" ht="15.75" thickBot="1" x14ac:dyDescent="0.25">
      <c r="A100" s="4" t="s">
        <v>52</v>
      </c>
      <c r="B100" s="52">
        <v>10</v>
      </c>
      <c r="C100" s="52"/>
      <c r="D100" s="47">
        <v>1.7</v>
      </c>
      <c r="E100" s="46"/>
      <c r="F100" s="104"/>
    </row>
    <row r="101" spans="1:6" ht="15.75" thickBot="1" x14ac:dyDescent="0.25">
      <c r="A101" s="4" t="s">
        <v>15</v>
      </c>
      <c r="B101" s="52">
        <v>100</v>
      </c>
      <c r="C101" s="52"/>
      <c r="D101" s="47">
        <f>(B101/1000)*T14</f>
        <v>14.3</v>
      </c>
      <c r="E101" s="46"/>
      <c r="F101" s="104"/>
    </row>
    <row r="102" spans="1:6" ht="15.75" thickBot="1" x14ac:dyDescent="0.25">
      <c r="A102" s="4" t="s">
        <v>119</v>
      </c>
      <c r="B102" s="52">
        <v>2</v>
      </c>
      <c r="C102" s="52"/>
      <c r="D102" s="47">
        <f>(B102/1)*Q6</f>
        <v>11.7</v>
      </c>
      <c r="E102" s="46"/>
      <c r="F102" s="104"/>
    </row>
    <row r="103" spans="1:6" ht="15.75" thickBot="1" x14ac:dyDescent="0.25">
      <c r="A103" s="107" t="s">
        <v>200</v>
      </c>
      <c r="B103" s="52"/>
      <c r="C103" s="52"/>
      <c r="D103" s="51">
        <f>SUM(D97:D102)</f>
        <v>47.86333333333333</v>
      </c>
      <c r="E103" s="46"/>
      <c r="F103" s="104"/>
    </row>
    <row r="104" spans="1:6" ht="15.75" thickBot="1" x14ac:dyDescent="0.25">
      <c r="A104" s="108" t="s">
        <v>204</v>
      </c>
      <c r="B104" s="52"/>
      <c r="C104" s="52"/>
      <c r="D104" s="47"/>
      <c r="E104" s="86">
        <v>250</v>
      </c>
      <c r="F104" s="104"/>
    </row>
    <row r="105" spans="1:6" x14ac:dyDescent="0.2">
      <c r="A105" s="129" t="s">
        <v>201</v>
      </c>
      <c r="B105" s="93"/>
      <c r="C105" s="93"/>
      <c r="D105" s="113">
        <f>E104-D103</f>
        <v>202.13666666666666</v>
      </c>
      <c r="E105" s="95"/>
      <c r="F105" s="114">
        <f>(E104-D103)/(E104)*100</f>
        <v>80.85466666666666</v>
      </c>
    </row>
    <row r="106" spans="1:6" x14ac:dyDescent="0.2">
      <c r="A106" s="10"/>
      <c r="B106" s="39"/>
      <c r="C106" s="39"/>
    </row>
    <row r="107" spans="1:6" x14ac:dyDescent="0.2">
      <c r="A107" s="10"/>
      <c r="B107" s="39"/>
      <c r="C107" s="39"/>
    </row>
    <row r="108" spans="1:6" ht="15.75" thickBot="1" x14ac:dyDescent="0.25">
      <c r="B108" s="39"/>
      <c r="C108" s="39"/>
    </row>
    <row r="109" spans="1:6" ht="17.25" thickBot="1" x14ac:dyDescent="0.3">
      <c r="A109" s="2" t="s">
        <v>92</v>
      </c>
      <c r="B109" s="39"/>
      <c r="C109" s="39"/>
    </row>
    <row r="110" spans="1:6" ht="15.75" thickBot="1" x14ac:dyDescent="0.25">
      <c r="A110" s="5" t="s">
        <v>93</v>
      </c>
      <c r="B110" s="39" t="s">
        <v>136</v>
      </c>
      <c r="C110" s="39"/>
    </row>
    <row r="111" spans="1:6" ht="15.75" thickBot="1" x14ac:dyDescent="0.25">
      <c r="A111" s="5" t="s">
        <v>5</v>
      </c>
      <c r="B111" s="39" t="s">
        <v>134</v>
      </c>
      <c r="C111" s="39"/>
    </row>
    <row r="112" spans="1:6" ht="15.75" thickBot="1" x14ac:dyDescent="0.25">
      <c r="A112" s="5" t="s">
        <v>94</v>
      </c>
      <c r="B112" s="39" t="s">
        <v>134</v>
      </c>
      <c r="C112" s="39"/>
    </row>
    <row r="113" spans="1:3" ht="15.75" thickBot="1" x14ac:dyDescent="0.25">
      <c r="A113" s="5" t="s">
        <v>95</v>
      </c>
      <c r="B113" s="39" t="s">
        <v>132</v>
      </c>
      <c r="C113" s="39"/>
    </row>
    <row r="114" spans="1:3" ht="15.75" thickBot="1" x14ac:dyDescent="0.25">
      <c r="A114" s="5" t="s">
        <v>96</v>
      </c>
      <c r="B114" s="39" t="s">
        <v>132</v>
      </c>
      <c r="C114" s="39"/>
    </row>
    <row r="115" spans="1:3" ht="15.75" thickBot="1" x14ac:dyDescent="0.25">
      <c r="A115" s="41" t="s">
        <v>97</v>
      </c>
      <c r="B115" s="39" t="s">
        <v>135</v>
      </c>
      <c r="C115" s="39"/>
    </row>
    <row r="116" spans="1:3" ht="15.75" thickBot="1" x14ac:dyDescent="0.25">
      <c r="A116" s="8" t="s">
        <v>186</v>
      </c>
      <c r="B116" s="39" t="s">
        <v>165</v>
      </c>
      <c r="C116" s="39"/>
    </row>
    <row r="117" spans="1:3" ht="15.75" thickBot="1" x14ac:dyDescent="0.25">
      <c r="A117" s="8" t="s">
        <v>101</v>
      </c>
      <c r="B117" s="39" t="s">
        <v>165</v>
      </c>
      <c r="C117" s="39"/>
    </row>
    <row r="118" spans="1:3" ht="15.75" thickBot="1" x14ac:dyDescent="0.25">
      <c r="A118" s="8" t="s">
        <v>102</v>
      </c>
      <c r="B118" s="39" t="s">
        <v>165</v>
      </c>
      <c r="C118" s="39"/>
    </row>
    <row r="119" spans="1:3" ht="15.75" thickBot="1" x14ac:dyDescent="0.25">
      <c r="A119" s="8" t="s">
        <v>108</v>
      </c>
      <c r="B119" s="39" t="s">
        <v>165</v>
      </c>
      <c r="C119" s="39"/>
    </row>
    <row r="120" spans="1:3" ht="15.75" thickBot="1" x14ac:dyDescent="0.25">
      <c r="A120" s="8" t="s">
        <v>109</v>
      </c>
      <c r="B120" s="39" t="s">
        <v>131</v>
      </c>
      <c r="C120" s="39"/>
    </row>
    <row r="121" spans="1:3" x14ac:dyDescent="0.2">
      <c r="B121" s="39"/>
      <c r="C121" s="39"/>
    </row>
    <row r="122" spans="1:3" ht="15.75" thickBot="1" x14ac:dyDescent="0.25">
      <c r="B122" s="39"/>
      <c r="C122" s="39"/>
    </row>
    <row r="123" spans="1:3" ht="17.25" thickBot="1" x14ac:dyDescent="0.3">
      <c r="A123" s="2" t="s">
        <v>70</v>
      </c>
      <c r="B123" s="39"/>
      <c r="C123" s="39"/>
    </row>
    <row r="124" spans="1:3" ht="15.75" thickBot="1" x14ac:dyDescent="0.25">
      <c r="A124" s="5" t="s">
        <v>71</v>
      </c>
      <c r="B124" s="39" t="s">
        <v>130</v>
      </c>
      <c r="C124" s="39"/>
    </row>
    <row r="125" spans="1:3" ht="15.75" thickBot="1" x14ac:dyDescent="0.25">
      <c r="A125" s="5" t="s">
        <v>24</v>
      </c>
      <c r="B125" s="39" t="s">
        <v>134</v>
      </c>
      <c r="C125" s="39"/>
    </row>
    <row r="126" spans="1:3" ht="15.75" thickBot="1" x14ac:dyDescent="0.25">
      <c r="A126" s="5" t="s">
        <v>191</v>
      </c>
      <c r="B126" s="39" t="s">
        <v>133</v>
      </c>
      <c r="C126" s="39"/>
    </row>
    <row r="127" spans="1:3" x14ac:dyDescent="0.2">
      <c r="A127" s="11" t="s">
        <v>4</v>
      </c>
      <c r="B127" s="39" t="s">
        <v>165</v>
      </c>
      <c r="C127" s="39"/>
    </row>
    <row r="128" spans="1:3" x14ac:dyDescent="0.2">
      <c r="A128" s="44" t="s">
        <v>121</v>
      </c>
      <c r="B128" s="39"/>
      <c r="C128" s="39"/>
    </row>
    <row r="129" spans="1:3" x14ac:dyDescent="0.2">
      <c r="A129" s="42" t="s">
        <v>192</v>
      </c>
      <c r="B129" s="39"/>
      <c r="C129" s="39"/>
    </row>
    <row r="130" spans="1:3" x14ac:dyDescent="0.2">
      <c r="A130" s="42" t="s">
        <v>65</v>
      </c>
      <c r="C130" s="39"/>
    </row>
    <row r="131" spans="1:3" x14ac:dyDescent="0.2">
      <c r="A131" s="43" t="s">
        <v>10</v>
      </c>
      <c r="B131" s="39"/>
    </row>
    <row r="132" spans="1:3" x14ac:dyDescent="0.2">
      <c r="A132" s="43" t="s">
        <v>193</v>
      </c>
      <c r="B132" s="39"/>
      <c r="C132" s="39"/>
    </row>
    <row r="133" spans="1:3" x14ac:dyDescent="0.2">
      <c r="A133" s="43" t="s">
        <v>104</v>
      </c>
      <c r="B133" s="39"/>
      <c r="C133" s="39"/>
    </row>
    <row r="134" spans="1:3" x14ac:dyDescent="0.2">
      <c r="A134" s="43"/>
      <c r="B134" s="39"/>
      <c r="C134" s="39"/>
    </row>
    <row r="135" spans="1:3" x14ac:dyDescent="0.2">
      <c r="B135" s="39"/>
      <c r="C135" s="39"/>
    </row>
    <row r="136" spans="1:3" x14ac:dyDescent="0.2">
      <c r="B136" s="39"/>
      <c r="C136" s="39"/>
    </row>
    <row r="137" spans="1:3" x14ac:dyDescent="0.2">
      <c r="B137" s="39"/>
      <c r="C137" s="39"/>
    </row>
    <row r="138" spans="1:3" ht="15.75" thickBot="1" x14ac:dyDescent="0.25">
      <c r="B138" s="39"/>
      <c r="C138" s="39"/>
    </row>
    <row r="139" spans="1:3" ht="17.25" thickBot="1" x14ac:dyDescent="0.3">
      <c r="A139" s="2" t="s">
        <v>42</v>
      </c>
      <c r="B139" s="39"/>
      <c r="C139" s="39"/>
    </row>
    <row r="140" spans="1:3" ht="15.75" thickBot="1" x14ac:dyDescent="0.25">
      <c r="A140" s="5" t="s">
        <v>43</v>
      </c>
      <c r="B140" s="39"/>
      <c r="C140" s="39"/>
    </row>
    <row r="141" spans="1:3" ht="15.75" thickBot="1" x14ac:dyDescent="0.25">
      <c r="A141" s="5" t="s">
        <v>196</v>
      </c>
      <c r="B141" s="39"/>
      <c r="C141" s="39"/>
    </row>
    <row r="142" spans="1:3" ht="15.75" thickBot="1" x14ac:dyDescent="0.25">
      <c r="A142" s="5" t="s">
        <v>45</v>
      </c>
      <c r="B142" s="39" t="s">
        <v>132</v>
      </c>
      <c r="C142" s="39"/>
    </row>
    <row r="143" spans="1:3" ht="15.75" thickBot="1" x14ac:dyDescent="0.25">
      <c r="A143" s="5" t="s">
        <v>22</v>
      </c>
      <c r="B143" s="39"/>
      <c r="C143" s="39"/>
    </row>
    <row r="144" spans="1:3" ht="15.75" thickBot="1" x14ac:dyDescent="0.25">
      <c r="A144" s="5" t="s">
        <v>47</v>
      </c>
      <c r="B144" s="39" t="s">
        <v>169</v>
      </c>
      <c r="C144" s="39"/>
    </row>
    <row r="145" spans="1:3" ht="15.75" thickBot="1" x14ac:dyDescent="0.25">
      <c r="B145" s="39"/>
      <c r="C145" s="39"/>
    </row>
    <row r="146" spans="1:3" ht="17.25" thickBot="1" x14ac:dyDescent="0.3">
      <c r="A146" s="2" t="s">
        <v>53</v>
      </c>
      <c r="B146" s="39"/>
      <c r="C146" s="39"/>
    </row>
    <row r="147" spans="1:3" ht="15.75" thickBot="1" x14ac:dyDescent="0.25">
      <c r="A147" s="5" t="s">
        <v>54</v>
      </c>
      <c r="B147" s="39" t="s">
        <v>130</v>
      </c>
      <c r="C147" s="39"/>
    </row>
    <row r="148" spans="1:3" ht="15.75" thickBot="1" x14ac:dyDescent="0.25">
      <c r="A148" s="5" t="s">
        <v>56</v>
      </c>
      <c r="B148" s="39" t="s">
        <v>137</v>
      </c>
      <c r="C148" s="39"/>
    </row>
    <row r="149" spans="1:3" ht="15.75" thickBot="1" x14ac:dyDescent="0.25">
      <c r="A149" s="7" t="s">
        <v>55</v>
      </c>
      <c r="B149" s="39" t="s">
        <v>120</v>
      </c>
      <c r="C149" s="39"/>
    </row>
    <row r="150" spans="1:3" ht="15.75" thickBot="1" x14ac:dyDescent="0.25">
      <c r="A150" s="8" t="s">
        <v>60</v>
      </c>
      <c r="B150" s="39" t="s">
        <v>120</v>
      </c>
      <c r="C150" s="39"/>
    </row>
    <row r="151" spans="1:3" ht="15.75" thickBot="1" x14ac:dyDescent="0.25">
      <c r="A151" s="8" t="s">
        <v>101</v>
      </c>
      <c r="B151" s="39" t="s">
        <v>120</v>
      </c>
      <c r="C151" s="39"/>
    </row>
    <row r="152" spans="1:3" ht="15.75" thickBot="1" x14ac:dyDescent="0.25">
      <c r="A152" s="8" t="s">
        <v>65</v>
      </c>
      <c r="B152" s="39" t="s">
        <v>120</v>
      </c>
      <c r="C152" s="39"/>
    </row>
    <row r="153" spans="1:3" ht="15.75" thickBot="1" x14ac:dyDescent="0.25">
      <c r="B153" s="39"/>
      <c r="C153" s="39"/>
    </row>
    <row r="154" spans="1:3" ht="17.25" thickBot="1" x14ac:dyDescent="0.3">
      <c r="A154" s="2" t="s">
        <v>57</v>
      </c>
      <c r="B154" s="39"/>
      <c r="C154" s="39"/>
    </row>
    <row r="155" spans="1:3" ht="15.75" thickBot="1" x14ac:dyDescent="0.25">
      <c r="A155" s="5" t="s">
        <v>68</v>
      </c>
      <c r="B155" s="39" t="s">
        <v>130</v>
      </c>
      <c r="C155" s="39"/>
    </row>
    <row r="156" spans="1:3" ht="15.75" thickBot="1" x14ac:dyDescent="0.25">
      <c r="A156" s="5" t="s">
        <v>58</v>
      </c>
      <c r="B156" s="39"/>
      <c r="C156" s="39"/>
    </row>
    <row r="157" spans="1:3" ht="15.75" thickBot="1" x14ac:dyDescent="0.25">
      <c r="A157" s="7" t="s">
        <v>59</v>
      </c>
      <c r="B157" s="39" t="s">
        <v>120</v>
      </c>
      <c r="C157" s="39"/>
    </row>
    <row r="158" spans="1:3" ht="15.75" thickBot="1" x14ac:dyDescent="0.25">
      <c r="A158" s="8" t="s">
        <v>60</v>
      </c>
      <c r="B158" s="39" t="s">
        <v>120</v>
      </c>
      <c r="C158" s="39"/>
    </row>
    <row r="159" spans="1:3" ht="15.75" thickBot="1" x14ac:dyDescent="0.25">
      <c r="A159" s="8" t="s">
        <v>61</v>
      </c>
      <c r="B159" s="39" t="s">
        <v>120</v>
      </c>
      <c r="C159" s="39"/>
    </row>
    <row r="160" spans="1:3" ht="15.75" thickBot="1" x14ac:dyDescent="0.25">
      <c r="A160" s="8" t="s">
        <v>62</v>
      </c>
      <c r="B160" s="39" t="s">
        <v>120</v>
      </c>
      <c r="C160" s="39"/>
    </row>
    <row r="161" spans="1:3" ht="15.75" thickBot="1" x14ac:dyDescent="0.25">
      <c r="B161" s="39"/>
      <c r="C161" s="39"/>
    </row>
    <row r="162" spans="1:3" ht="17.25" thickBot="1" x14ac:dyDescent="0.3">
      <c r="A162" s="2" t="s">
        <v>63</v>
      </c>
      <c r="B162" s="39"/>
      <c r="C162" s="39"/>
    </row>
    <row r="163" spans="1:3" ht="15.75" thickBot="1" x14ac:dyDescent="0.25">
      <c r="A163" s="5" t="s">
        <v>68</v>
      </c>
      <c r="B163" s="39" t="s">
        <v>118</v>
      </c>
      <c r="C163" s="39"/>
    </row>
    <row r="164" spans="1:3" ht="15.75" thickBot="1" x14ac:dyDescent="0.25">
      <c r="A164" s="5" t="s">
        <v>64</v>
      </c>
      <c r="B164" s="39" t="s">
        <v>131</v>
      </c>
      <c r="C164" s="39"/>
    </row>
    <row r="165" spans="1:3" ht="15.75" thickBot="1" x14ac:dyDescent="0.25">
      <c r="A165" s="5" t="s">
        <v>65</v>
      </c>
      <c r="B165" s="39" t="s">
        <v>135</v>
      </c>
      <c r="C165" s="39"/>
    </row>
    <row r="166" spans="1:3" ht="15.75" thickBot="1" x14ac:dyDescent="0.25">
      <c r="A166" s="5" t="s">
        <v>9</v>
      </c>
      <c r="B166" s="39" t="s">
        <v>132</v>
      </c>
      <c r="C166" s="39"/>
    </row>
    <row r="167" spans="1:3" ht="15.75" thickBot="1" x14ac:dyDescent="0.25">
      <c r="A167" s="5" t="s">
        <v>66</v>
      </c>
      <c r="B167" s="39" t="s">
        <v>135</v>
      </c>
      <c r="C167" s="39"/>
    </row>
    <row r="168" spans="1:3" ht="15.75" thickBot="1" x14ac:dyDescent="0.25">
      <c r="A168" s="5" t="s">
        <v>67</v>
      </c>
      <c r="B168" s="39" t="s">
        <v>135</v>
      </c>
      <c r="C168" s="39"/>
    </row>
    <row r="169" spans="1:3" ht="15.75" thickBot="1" x14ac:dyDescent="0.25">
      <c r="B169" s="39"/>
      <c r="C169" s="39"/>
    </row>
    <row r="170" spans="1:3" ht="17.25" thickBot="1" x14ac:dyDescent="0.3">
      <c r="A170" s="2" t="s">
        <v>103</v>
      </c>
      <c r="B170" s="39"/>
      <c r="C170" s="39"/>
    </row>
    <row r="171" spans="1:3" ht="15.75" thickBot="1" x14ac:dyDescent="0.25">
      <c r="A171" s="5" t="s">
        <v>125</v>
      </c>
      <c r="B171" s="39" t="s">
        <v>122</v>
      </c>
      <c r="C171" s="39"/>
    </row>
    <row r="172" spans="1:3" ht="15.75" thickBot="1" x14ac:dyDescent="0.25">
      <c r="A172" s="5" t="s">
        <v>126</v>
      </c>
      <c r="B172" s="39" t="s">
        <v>123</v>
      </c>
      <c r="C172" s="39"/>
    </row>
    <row r="173" spans="1:3" ht="15.75" thickBot="1" x14ac:dyDescent="0.25">
      <c r="A173" s="5" t="s">
        <v>51</v>
      </c>
      <c r="B173" s="39" t="s">
        <v>124</v>
      </c>
      <c r="C173" s="39"/>
    </row>
    <row r="174" spans="1:3" ht="15.75" thickBot="1" x14ac:dyDescent="0.25">
      <c r="A174" s="5" t="s">
        <v>105</v>
      </c>
      <c r="B174" s="39" t="s">
        <v>138</v>
      </c>
      <c r="C174" s="39"/>
    </row>
    <row r="175" spans="1:3" x14ac:dyDescent="0.2">
      <c r="A175" s="11" t="s">
        <v>49</v>
      </c>
      <c r="B175" s="39" t="s">
        <v>138</v>
      </c>
      <c r="C175" s="39"/>
    </row>
    <row r="176" spans="1:3" x14ac:dyDescent="0.2">
      <c r="C176" s="39"/>
    </row>
  </sheetData>
  <mergeCells count="10">
    <mergeCell ref="B48:C48"/>
    <mergeCell ref="B71:C71"/>
    <mergeCell ref="B85:C85"/>
    <mergeCell ref="B96:C96"/>
    <mergeCell ref="B1:C1"/>
    <mergeCell ref="A8:C8"/>
    <mergeCell ref="A20:C20"/>
    <mergeCell ref="B27:C27"/>
    <mergeCell ref="A33:C33"/>
    <mergeCell ref="B14:C14"/>
  </mergeCells>
  <phoneticPr fontId="10" type="noConversion"/>
  <conditionalFormatting sqref="D3:D10 D15:D3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{0075F165-E217-4CA9-BDB2-7D9D51D09DA0}</x14:id>
        </ext>
      </extLst>
    </cfRule>
  </conditionalFormatting>
  <conditionalFormatting sqref="D40:D6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{837C652A-131E-4A7D-BD6D-559370B4DC51}</x14:id>
        </ext>
      </extLst>
    </cfRule>
  </conditionalFormatting>
  <conditionalFormatting sqref="D63:D6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{9FFFA6A9-62A1-405D-8EDF-81F4A88AE08C}</x14:id>
        </ext>
      </extLst>
    </cfRule>
  </conditionalFormatting>
  <conditionalFormatting sqref="D72:D8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{F32CF9B8-5455-454B-8AE2-C1459FB448E4}</x14:id>
        </ext>
      </extLst>
    </cfRule>
  </conditionalFormatting>
  <conditionalFormatting sqref="D97:D1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{2EE1CDBA-AA2E-4404-B39A-0E501B7A6A58}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5F165-E217-4CA9-BDB2-7D9D51D09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D3:D10 D15:D39</xm:sqref>
        </x14:conditionalFormatting>
        <x14:conditionalFormatting xmlns:xm="http://schemas.microsoft.com/office/excel/2006/main">
          <x14:cfRule type="dataBar" id="{837C652A-131E-4A7D-BD6D-559370B4D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D40:D60</xm:sqref>
        </x14:conditionalFormatting>
        <x14:conditionalFormatting xmlns:xm="http://schemas.microsoft.com/office/excel/2006/main">
          <x14:cfRule type="dataBar" id="{9FFFA6A9-62A1-405D-8EDF-81F4A88AE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D63:D67</xm:sqref>
        </x14:conditionalFormatting>
        <x14:conditionalFormatting xmlns:xm="http://schemas.microsoft.com/office/excel/2006/main">
          <x14:cfRule type="dataBar" id="{F32CF9B8-5455-454B-8AE2-C1459FB44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D72:D88</xm:sqref>
        </x14:conditionalFormatting>
        <x14:conditionalFormatting xmlns:xm="http://schemas.microsoft.com/office/excel/2006/main">
          <x14:cfRule type="dataBar" id="{2EE1CDBA-AA2E-4404-B39A-0E501B7A6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D97:D101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633A-3D57-422A-B12A-6A0AB3FED87C}">
  <dimension ref="A1:Q16"/>
  <sheetViews>
    <sheetView zoomScale="87" zoomScaleNormal="87" workbookViewId="0">
      <selection activeCell="D12" sqref="D12"/>
    </sheetView>
  </sheetViews>
  <sheetFormatPr defaultColWidth="9.14453125" defaultRowHeight="18.75" x14ac:dyDescent="0.25"/>
  <cols>
    <col min="1" max="2" width="17.08203125" style="1" customWidth="1"/>
    <col min="3" max="3" width="19.90625" style="1" customWidth="1"/>
    <col min="4" max="4" width="15.87109375" style="1" customWidth="1"/>
    <col min="5" max="5" width="19.234375" style="1" customWidth="1"/>
    <col min="6" max="6" width="20.3125" style="1" customWidth="1"/>
    <col min="7" max="7" width="20.17578125" style="1" customWidth="1"/>
    <col min="8" max="8" width="21.38671875" style="1" customWidth="1"/>
    <col min="9" max="9" width="21.5234375" style="1" customWidth="1"/>
    <col min="10" max="10" width="15.46875" style="1" customWidth="1"/>
    <col min="11" max="11" width="18.5625" style="1" customWidth="1"/>
    <col min="12" max="12" width="16.54296875" style="1" customWidth="1"/>
    <col min="13" max="13" width="17.21875" style="1" customWidth="1"/>
    <col min="14" max="14" width="19.7734375" style="1" customWidth="1"/>
    <col min="15" max="15" width="20.3125" style="1" customWidth="1"/>
    <col min="16" max="16" width="15.87109375" style="1" customWidth="1"/>
    <col min="17" max="16384" width="9.14453125" style="1"/>
  </cols>
  <sheetData>
    <row r="1" spans="1:17" ht="19.5" thickBo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5" thickBot="1" x14ac:dyDescent="0.3">
      <c r="A2" s="36" t="s">
        <v>40</v>
      </c>
      <c r="B2" s="36" t="s">
        <v>114</v>
      </c>
      <c r="C2" s="36" t="s">
        <v>42</v>
      </c>
      <c r="D2" s="36" t="s">
        <v>48</v>
      </c>
      <c r="E2" s="36" t="s">
        <v>53</v>
      </c>
      <c r="F2" s="36" t="s">
        <v>57</v>
      </c>
      <c r="G2" s="36" t="s">
        <v>63</v>
      </c>
      <c r="H2" s="36" t="s">
        <v>70</v>
      </c>
      <c r="I2" s="36" t="s">
        <v>74</v>
      </c>
      <c r="J2" s="36" t="s">
        <v>77</v>
      </c>
      <c r="K2" s="36" t="s">
        <v>80</v>
      </c>
      <c r="L2" s="36" t="s">
        <v>89</v>
      </c>
      <c r="M2" s="36" t="s">
        <v>92</v>
      </c>
      <c r="N2" s="36" t="s">
        <v>99</v>
      </c>
      <c r="O2" s="36" t="s">
        <v>103</v>
      </c>
      <c r="P2" s="36" t="s">
        <v>115</v>
      </c>
      <c r="Q2" s="33"/>
    </row>
    <row r="3" spans="1:17" ht="19.5" thickBot="1" x14ac:dyDescent="0.3">
      <c r="A3" s="37" t="s">
        <v>113</v>
      </c>
      <c r="B3" s="37" t="s">
        <v>15</v>
      </c>
      <c r="C3" s="37" t="s">
        <v>43</v>
      </c>
      <c r="D3" s="37" t="s">
        <v>49</v>
      </c>
      <c r="E3" s="37" t="s">
        <v>54</v>
      </c>
      <c r="F3" s="37" t="s">
        <v>69</v>
      </c>
      <c r="G3" s="37" t="s">
        <v>68</v>
      </c>
      <c r="H3" s="37" t="s">
        <v>71</v>
      </c>
      <c r="I3" s="37" t="s">
        <v>75</v>
      </c>
      <c r="J3" s="37" t="s">
        <v>78</v>
      </c>
      <c r="K3" s="37" t="s">
        <v>81</v>
      </c>
      <c r="L3" s="37" t="s">
        <v>54</v>
      </c>
      <c r="M3" s="37" t="s">
        <v>93</v>
      </c>
      <c r="N3" s="37" t="s">
        <v>100</v>
      </c>
      <c r="O3" s="37" t="s">
        <v>49</v>
      </c>
      <c r="P3" s="37" t="s">
        <v>116</v>
      </c>
      <c r="Q3" s="34"/>
    </row>
    <row r="4" spans="1:17" ht="19.5" thickBot="1" x14ac:dyDescent="0.3">
      <c r="A4" s="37" t="s">
        <v>1</v>
      </c>
      <c r="B4" s="37" t="s">
        <v>14</v>
      </c>
      <c r="C4" s="37" t="s">
        <v>44</v>
      </c>
      <c r="D4" s="37" t="s">
        <v>50</v>
      </c>
      <c r="E4" s="37" t="s">
        <v>56</v>
      </c>
      <c r="F4" s="37" t="s">
        <v>58</v>
      </c>
      <c r="G4" s="37" t="s">
        <v>64</v>
      </c>
      <c r="H4" s="37" t="s">
        <v>24</v>
      </c>
      <c r="I4" s="37" t="s">
        <v>73</v>
      </c>
      <c r="J4" s="37" t="s">
        <v>79</v>
      </c>
      <c r="K4" s="37" t="s">
        <v>41</v>
      </c>
      <c r="L4" s="37" t="s">
        <v>90</v>
      </c>
      <c r="M4" s="37" t="s">
        <v>5</v>
      </c>
      <c r="N4" s="37" t="s">
        <v>73</v>
      </c>
      <c r="O4" s="37" t="s">
        <v>104</v>
      </c>
      <c r="P4" s="37" t="s">
        <v>117</v>
      </c>
      <c r="Q4" s="34"/>
    </row>
    <row r="5" spans="1:17" ht="19.5" thickBot="1" x14ac:dyDescent="0.3">
      <c r="A5" s="37" t="s">
        <v>41</v>
      </c>
      <c r="B5" s="37" t="s">
        <v>73</v>
      </c>
      <c r="C5" s="37" t="s">
        <v>45</v>
      </c>
      <c r="D5" s="37" t="s">
        <v>51</v>
      </c>
      <c r="E5" s="37" t="s">
        <v>55</v>
      </c>
      <c r="F5" s="37" t="s">
        <v>59</v>
      </c>
      <c r="G5" s="37" t="s">
        <v>65</v>
      </c>
      <c r="H5" s="37" t="s">
        <v>72</v>
      </c>
      <c r="I5" s="37" t="s">
        <v>76</v>
      </c>
      <c r="J5" s="37" t="s">
        <v>7</v>
      </c>
      <c r="K5" s="37" t="s">
        <v>82</v>
      </c>
      <c r="L5" s="37" t="s">
        <v>4</v>
      </c>
      <c r="M5" s="37" t="s">
        <v>94</v>
      </c>
      <c r="N5" s="37" t="s">
        <v>90</v>
      </c>
      <c r="O5" s="37" t="s">
        <v>65</v>
      </c>
      <c r="P5" s="37" t="s">
        <v>14</v>
      </c>
      <c r="Q5" s="34"/>
    </row>
    <row r="6" spans="1:17" ht="19.5" thickBot="1" x14ac:dyDescent="0.3">
      <c r="A6" s="37" t="s">
        <v>15</v>
      </c>
      <c r="B6" s="37" t="s">
        <v>75</v>
      </c>
      <c r="C6" s="37" t="s">
        <v>46</v>
      </c>
      <c r="D6" s="37" t="s">
        <v>52</v>
      </c>
      <c r="E6" s="37" t="s">
        <v>60</v>
      </c>
      <c r="F6" s="37" t="s">
        <v>60</v>
      </c>
      <c r="G6" s="37" t="s">
        <v>9</v>
      </c>
      <c r="H6" s="37" t="s">
        <v>73</v>
      </c>
      <c r="I6" s="37" t="s">
        <v>15</v>
      </c>
      <c r="J6" s="37" t="s">
        <v>108</v>
      </c>
      <c r="K6" s="37" t="s">
        <v>83</v>
      </c>
      <c r="L6" s="37" t="s">
        <v>5</v>
      </c>
      <c r="M6" s="37" t="s">
        <v>95</v>
      </c>
      <c r="N6" s="37" t="s">
        <v>98</v>
      </c>
      <c r="O6" s="37" t="s">
        <v>105</v>
      </c>
      <c r="P6" s="37" t="s">
        <v>76</v>
      </c>
      <c r="Q6" s="34"/>
    </row>
    <row r="7" spans="1:17" ht="19.5" thickBot="1" x14ac:dyDescent="0.3">
      <c r="A7" s="37" t="s">
        <v>14</v>
      </c>
      <c r="B7" s="37"/>
      <c r="C7" s="37" t="s">
        <v>47</v>
      </c>
      <c r="D7" s="37" t="s">
        <v>15</v>
      </c>
      <c r="E7" s="37" t="s">
        <v>101</v>
      </c>
      <c r="F7" s="37" t="s">
        <v>61</v>
      </c>
      <c r="G7" s="37" t="s">
        <v>66</v>
      </c>
      <c r="H7" s="37"/>
      <c r="I7" s="37"/>
      <c r="J7" s="37" t="s">
        <v>10</v>
      </c>
      <c r="K7" s="37" t="s">
        <v>84</v>
      </c>
      <c r="L7" s="37" t="s">
        <v>91</v>
      </c>
      <c r="M7" s="37" t="s">
        <v>96</v>
      </c>
      <c r="N7" s="37" t="s">
        <v>101</v>
      </c>
      <c r="O7" s="37" t="s">
        <v>106</v>
      </c>
      <c r="P7" s="37"/>
      <c r="Q7" s="34"/>
    </row>
    <row r="8" spans="1:17" ht="19.5" thickBot="1" x14ac:dyDescent="0.3">
      <c r="A8" s="37"/>
      <c r="B8" s="37"/>
      <c r="C8" s="37"/>
      <c r="D8" s="37"/>
      <c r="E8" s="37" t="s">
        <v>65</v>
      </c>
      <c r="F8" s="37" t="s">
        <v>62</v>
      </c>
      <c r="G8" s="37" t="s">
        <v>67</v>
      </c>
      <c r="H8" s="37"/>
      <c r="I8" s="37"/>
      <c r="J8" s="37"/>
      <c r="K8" s="37" t="s">
        <v>4</v>
      </c>
      <c r="L8" s="37"/>
      <c r="M8" s="37" t="s">
        <v>97</v>
      </c>
      <c r="N8" s="37" t="s">
        <v>102</v>
      </c>
      <c r="O8" s="37" t="s">
        <v>107</v>
      </c>
      <c r="P8" s="37"/>
      <c r="Q8" s="34"/>
    </row>
    <row r="9" spans="1:17" ht="19.5" thickBot="1" x14ac:dyDescent="0.3">
      <c r="A9" s="37"/>
      <c r="B9" s="37"/>
      <c r="C9" s="37"/>
      <c r="D9" s="37"/>
      <c r="E9" s="37"/>
      <c r="F9" s="37"/>
      <c r="G9" s="37"/>
      <c r="H9" s="37"/>
      <c r="I9" s="37"/>
      <c r="J9" s="37" t="s">
        <v>85</v>
      </c>
      <c r="K9" s="38" t="s">
        <v>110</v>
      </c>
      <c r="L9" s="37" t="s">
        <v>98</v>
      </c>
      <c r="M9" s="37"/>
      <c r="N9" s="37" t="s">
        <v>108</v>
      </c>
      <c r="O9" s="37"/>
      <c r="P9" s="37"/>
      <c r="Q9" s="34"/>
    </row>
    <row r="10" spans="1:17" ht="19.5" thickBo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 t="s">
        <v>86</v>
      </c>
      <c r="K10" s="38" t="s">
        <v>111</v>
      </c>
      <c r="L10" s="37" t="s">
        <v>98</v>
      </c>
      <c r="M10" s="37"/>
      <c r="N10" s="37" t="s">
        <v>109</v>
      </c>
      <c r="O10" s="37"/>
      <c r="P10" s="37"/>
      <c r="Q10" s="34"/>
    </row>
    <row r="11" spans="1:17" ht="19.5" thickBot="1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 t="s">
        <v>87</v>
      </c>
      <c r="K11" s="38" t="s">
        <v>112</v>
      </c>
      <c r="L11" s="37" t="s">
        <v>98</v>
      </c>
      <c r="M11" s="37"/>
      <c r="N11" s="37"/>
      <c r="O11" s="37"/>
      <c r="P11" s="37"/>
      <c r="Q11" s="34"/>
    </row>
    <row r="12" spans="1:17" ht="19.5" thickBot="1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 t="s">
        <v>88</v>
      </c>
      <c r="K12" s="37"/>
      <c r="L12" s="37"/>
      <c r="M12" s="37"/>
      <c r="N12" s="37"/>
      <c r="O12" s="37"/>
      <c r="P12" s="37"/>
      <c r="Q12" s="34"/>
    </row>
    <row r="13" spans="1:17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2"/>
      <c r="K13" s="32"/>
      <c r="L13" s="35"/>
      <c r="M13" s="35"/>
      <c r="N13" s="35"/>
      <c r="O13" s="35"/>
      <c r="P13" s="35"/>
      <c r="Q13" s="16"/>
    </row>
    <row r="14" spans="1:17" x14ac:dyDescent="0.25">
      <c r="A14" s="16"/>
      <c r="B14" s="16"/>
      <c r="C14" s="16"/>
      <c r="D14" s="16"/>
      <c r="E14" s="16"/>
      <c r="F14" s="16"/>
      <c r="G14" s="16"/>
      <c r="H14" s="16"/>
      <c r="I14" s="16"/>
      <c r="L14" s="16"/>
      <c r="M14" s="16"/>
      <c r="N14" s="16"/>
      <c r="O14" s="16"/>
      <c r="P14" s="16"/>
      <c r="Q14" s="16"/>
    </row>
    <row r="15" spans="1:17" x14ac:dyDescent="0.25">
      <c r="A15" s="16"/>
      <c r="B15" s="16"/>
      <c r="C15" s="16"/>
      <c r="D15" s="16"/>
      <c r="E15" s="16"/>
      <c r="F15" s="16"/>
      <c r="G15" s="16"/>
      <c r="H15" s="16"/>
      <c r="I15" s="16"/>
      <c r="L15" s="16"/>
      <c r="M15" s="16"/>
      <c r="N15" s="16"/>
      <c r="O15" s="16"/>
      <c r="P15" s="16"/>
      <c r="Q15" s="16"/>
    </row>
    <row r="16" spans="1:17" x14ac:dyDescent="0.25">
      <c r="A16" s="28"/>
      <c r="B16" s="29"/>
      <c r="C16" s="29"/>
      <c r="D16" s="29"/>
      <c r="E16" s="29"/>
      <c r="F16" s="29"/>
      <c r="G16" s="29"/>
      <c r="H16" s="29"/>
      <c r="I16" s="29"/>
      <c r="J16" s="30"/>
      <c r="K16" s="29"/>
      <c r="L16" s="29"/>
      <c r="M16" s="29"/>
      <c r="N16" s="29"/>
      <c r="O16" s="29"/>
      <c r="P16" s="31"/>
      <c r="Q16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6BEB14E3-9378-497A-A313-2311047D3F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epm</dc:creator>
  <cp:lastModifiedBy>a2540</cp:lastModifiedBy>
  <cp:lastPrinted>2026-04-04T04:28:40Z</cp:lastPrinted>
  <dcterms:created xsi:type="dcterms:W3CDTF">2026-04-01T06:11:46Z</dcterms:created>
  <dcterms:modified xsi:type="dcterms:W3CDTF">2026-04-15T23:38:01Z</dcterms:modified>
</cp:coreProperties>
</file>